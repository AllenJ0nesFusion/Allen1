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asks" sheetId="2" state="visible" r:id="rId4"/>
    <sheet name="Milestones" sheetId="3" state="visible" r:id="rId5"/>
    <sheet name="Capac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<sst xmlns="http://schemas.openxmlformats.org/spreadsheetml/2006/main" count="773" uniqueCount="425">
  <si>
    <t xml:space="preserve">Allen Jones — Departmental Goals WBS (2026)</t>
  </si>
  <si>
    <t xml:space="preserve">Purpose</t>
  </si>
  <si>
    <t xml:space="preserve">Two-lane prioritized work breakdown structure for Q3/Q4 2026 departmental goals.</t>
  </si>
  <si>
    <t xml:space="preserve">Lane 1 = Training Redesign (pharmacy prototype + Docebo co-lead with Steph).</t>
  </si>
  <si>
    <t xml:space="preserve">Lane 2 = Certification / Assessment (Team, Contractor, Pharmacy, FusionEHR, Client Ops).</t>
  </si>
  <si>
    <t xml:space="preserve">CRITICAL ASSUMPTION — READ FIRST</t>
  </si>
  <si>
    <t xml:space="preserve">Lane 1 pharmacy redesign (tasks 1.1.2 through 1.6.5) AND pharmacy assessment (tasks 2.4.1 through 2.4.4) are CONTINGENT on Kayla green-lighting the role-based redesign approach for pharmacy.</t>
  </si>
  <si>
    <t xml:space="preserve">The pharmacy framework, Prescriber facilitator guide, learner packet, and pharmacy L1/L2 study guides sent to Kayla 6/14-6/15 were UNSOLICITED. Kayla has not yet given direction.</t>
  </si>
  <si>
    <t xml:space="preserve">All contingent tasks are marked Status = 'Contingent' until Task 1.1.1 closes with a directional YES. If Kayla declines the redesign approach, Lane 1 spine collapses — see 'Contingency plan if Kayla declines' below for the fallback.</t>
  </si>
  <si>
    <t xml:space="preserve">Decision point: next Allen + Kayla 1:1 (Mon 6/22, 2:00 PM ET).</t>
  </si>
  <si>
    <t xml:space="preserve">Time budget</t>
  </si>
  <si>
    <t xml:space="preserve">24 hours/week dedicated to departmental goals. Remaining time = client project management + ILT delivery.</t>
  </si>
  <si>
    <t xml:space="preserve">Total period: Jun 16 - Dec 31, 2026 (~28 weeks).</t>
  </si>
  <si>
    <t xml:space="preserve">Realistic availability: ~570 hours (after high-load weeks and holidays).</t>
  </si>
  <si>
    <t xml:space="preserve">Planned effort total: see Capacity sheet (Total Planned column).</t>
  </si>
  <si>
    <t xml:space="preserve">Sheets</t>
  </si>
  <si>
    <t xml:space="preserve">Tasks — Full WBS with hierarchical IDs (1, 1.1, 1.1.1...), dates, effort, owners, dependencies.</t>
  </si>
  <si>
    <t xml:space="preserve">Milestones — External client events + internal deadlines + escalation triggers.</t>
  </si>
  <si>
    <t xml:space="preserve">Capacity — Weekly Allen-hours plan: available, planned per lane, variance.</t>
  </si>
  <si>
    <t xml:space="preserve">Strategic framing baked into this plan</t>
  </si>
  <si>
    <t xml:space="preserve">1. Pharmacy training redesign is the PROTOTYPE for role-based + cert work. IDHS Sept 14 is the proof point.</t>
  </si>
  <si>
    <t xml:space="preserve">2. Honest scope cut: 2 pharmacy roles end-to-end by 9/14 (NOT all 5). Remaining 3 in Q4.</t>
  </si>
  <si>
    <t xml:space="preserve">3. Honest scope cut: FusionEHR is the FIRST EHR cert built to proven pattern. Other EHR apps (eMAR, Order Mgr, CPOE, Lab Mgr) roll to Q1-Q2 2027.</t>
  </si>
  <si>
    <t xml:space="preserve">4. Steph owns Docebo backend + LMS publishing + her existing 2026 app queue. Allen owns ID authorship + pattern enforcement.</t>
  </si>
  <si>
    <t xml:space="preserve">5. Build Pattern doc (1.4) is mandatory scaffolding so Steph can pattern-match Allen's prototype without coaching.</t>
  </si>
  <si>
    <t xml:space="preserve">6. Dom Davis is the bottleneck for Lane 2 EHR-side cert (L1/L2). Pharmacy SME review routes through Dylan/Isaac independently — not gated by Dom. Escalation trigger for Dom by EOW 6/19.</t>
  </si>
  <si>
    <t xml:space="preserve">Goal-to-Owner mapping (per L&amp;D Team Meeting deck 6/12)</t>
  </si>
  <si>
    <t xml:space="preserve">Allen OWNS: Role-based EHR + cert (D), Team &gt;=90% (F), Contractor cert (G), Client Ops cert co with Kayla T (I).</t>
  </si>
  <si>
    <t xml:space="preserve">Allen CONTRIBUTES to but does NOT own: Docebo (Steph/Allen co), Pharmacy LMS suite (Steph), Pharmacy handoff (Kayla B), Async conversion (Steph).</t>
  </si>
  <si>
    <t xml:space="preserve">Allen-owned tasks in this WBS span both lanes; co-contribution tasks are tagged in Owner column.</t>
  </si>
  <si>
    <t xml:space="preserve">Tool conversion notes</t>
  </si>
  <si>
    <t xml:space="preserve">MS Project: File &gt; Open &gt; select .xlsx. Map Outline Level column on import for hierarchy. Predecessors column uses WBS IDs.</t>
  </si>
  <si>
    <t xml:space="preserve">Smartsheet: Import via File &gt; Import &gt; Microsoft Excel. Outline Level column drives parent-child indenting.</t>
  </si>
  <si>
    <t xml:space="preserve">Claude-coded app: Tasks sheet is the source of truth. WBS ID is the unique key. Predecessors column is comma-separated WBS IDs (default Finish-to-Start).</t>
  </si>
  <si>
    <t xml:space="preserve">Excel-only use: Use the outline level handles in the left margin to collapse/expand by lane and sub-workstream.</t>
  </si>
  <si>
    <t xml:space="preserve">Column definitions (Tasks sheet)</t>
  </si>
  <si>
    <t xml:space="preserve">WBS ID — Hierarchical identifier (1, 1.1, 1.1.1). Lane 1 starts with '1', Lane 2 with '2'.</t>
  </si>
  <si>
    <t xml:space="preserve">Outline Level — 1=Lane parent, 2=Workstream parent, 3=Leaf task. Drives row indenting in compatible tools.</t>
  </si>
  <si>
    <t xml:space="preserve">Lane — '1 - Training Redesign' or '2 - Certification'.</t>
  </si>
  <si>
    <t xml:space="preserve">Task Name — Indented display; raw text is the actual name.</t>
  </si>
  <si>
    <t xml:space="preserve">Predecessors — Comma-separated WBS IDs. Finish-to-Start dependency unless noted.</t>
  </si>
  <si>
    <t xml:space="preserve">Start / Finish — ISO date format (YYYY-MM-DD). Working days assumed Mon-Fri.</t>
  </si>
  <si>
    <t xml:space="preserve">Duration — Calculated via NETWORKDAYS formula (working days between Start and Finish).</t>
  </si>
  <si>
    <t xml:space="preserve">Effort — Allen's hours only (excludes SME, Steph, contractor time).</t>
  </si>
  <si>
    <t xml:space="preserve">Owner — Primary accountable party. Tasks where someone else leads but Allen contributes are noted.</t>
  </si>
  <si>
    <t xml:space="preserve">Status — Not Started / In Progress / Waiting / Blocked / Complete / Decision Required / Contingent. "Contingent" = task depends on a pending decision (see Notes); "Decision Required" = a stakeholder owes a directional call. Update weekly.</t>
  </si>
  <si>
    <t xml:space="preserve">Goal — Which 2026 L&amp;D objective this feeds (Obj 1 / Obj 2 / Obj 3 / combinations).</t>
  </si>
  <si>
    <t xml:space="preserve">Notes — Context, risks, decision points.</t>
  </si>
  <si>
    <t xml:space="preserve">How to maintain</t>
  </si>
  <si>
    <t xml:space="preserve">Update Status column weekly (Friday recap is the natural rhythm).</t>
  </si>
  <si>
    <t xml:space="preserve">When a date slips, update Start / Finish; Duration auto-recalculates.</t>
  </si>
  <si>
    <t xml:space="preserve">Re-validate Capacity sheet weekly — if Total Planned exceeds Available, scope must give before dates.</t>
  </si>
  <si>
    <t xml:space="preserve">Re-cut WBS if: (a) Kayla rejects pharmacy framework, (b) Dom doesn't move within 2 more weeks, (c) IDHS Sept 14 date shifts, (d) new client wave drops.</t>
  </si>
  <si>
    <t xml:space="preserve">Discussion prep for next Kayla 1:1</t>
  </si>
  <si>
    <t xml:space="preserve">THE ASK: directional yes / no on the pharmacy role-based redesign approach. NOT detailed feedback on the 6/14-6/15 documents.</t>
  </si>
  <si>
    <t xml:space="preserve">THE FRAMING: pharmacy redesign serves as the PROTOTYPE for the broader role-based + cert work across the EHR. IDHS Sept 14 is the natural proof point. FusionEHR Q4 is the first EHR application of the proven pattern.</t>
  </si>
  <si>
    <t xml:space="preserve">HONEST SCOPE CUTS BAKED INTO THIS PLAN (flag these explicitly so Kayla is not surprised in November):</t>
  </si>
  <si>
    <t xml:space="preserve">    - 2 pharmacy roles end-to-end by IDHS 9/14 (not all 5). Remaining 3 in Q4.</t>
  </si>
  <si>
    <t xml:space="preserve">    - FusionEHR is the only EHR-side cert built in 2026. Other EHR apps (eMAR, Order Mgr, CPOE, Lab Mgr) roll to Q1-Q2 2027.</t>
  </si>
  <si>
    <t xml:space="preserve">    - 'Interactive, adult-learning-based modules' (Obj 3) delivered through prototype work, not a separate Docebo content rebuild.</t>
  </si>
  <si>
    <t xml:space="preserve">THE TRADE: 8 scattered goal lines become 1 coherent program of work. Steph's queue stops competing with role-based reorg. Build Pattern doc (1.4) gives Steph something concrete to pattern-match against.</t>
  </si>
  <si>
    <t xml:space="preserve">WHAT I AM NOT ASKING FOR: detailed feedback on the documents. That can wait until the directional call is made.</t>
  </si>
  <si>
    <t xml:space="preserve">Contingency plan if Kayla declines the redesign approach</t>
  </si>
  <si>
    <t xml:space="preserve">Lane 1 collapses to Workstream 1.7 (Docebo co-lead with Steph) only. ~210 hrs of planned Allen effort frees up.</t>
  </si>
  <si>
    <t xml:space="preserve">Pharmacy LMS suite (Steph's Obj 1 goal) stays as her interactivity-pass work on existing content. Allen contributes ad-hoc only.</t>
  </si>
  <si>
    <t xml:space="preserve">Pharmacy handoff (Kayla B's Obj 2 goal) continues — Allen does shadow -&gt; co-deliver -&gt; solo on EXISTING pharmacy training materials, not redesigned ones.</t>
  </si>
  <si>
    <t xml:space="preserve">IDHS Sept 14 delivery uses existing pharmacy training materials. Still a proof point for the handoff goal, not for any redesign.</t>
  </si>
  <si>
    <t xml:space="preserve">Freed hours redirect to additional EHR cert work in Lane 2 — likely eMAR and Order Manager certs in Q4 alongside FusionEHR, advancing Obj 1 'role-based packages for all EHR products' partially.</t>
  </si>
  <si>
    <t xml:space="preserve">Worst-case impact: the 6/14-6/15 documents become reference material, not the spine of the year's program. Reusable for future cycles.</t>
  </si>
  <si>
    <t xml:space="preserve">Best-case impact of the contingency: forces an explicit 'what is the Obj 3 deliverable' conversation that has been deferred.</t>
  </si>
  <si>
    <t xml:space="preserve">WBS ID</t>
  </si>
  <si>
    <t xml:space="preserve">Outline Level</t>
  </si>
  <si>
    <t xml:space="preserve">Lane</t>
  </si>
  <si>
    <t xml:space="preserve">Task Name</t>
  </si>
  <si>
    <t xml:space="preserve">Predecessors</t>
  </si>
  <si>
    <t xml:space="preserve">Start Date</t>
  </si>
  <si>
    <t xml:space="preserve">Finish Date</t>
  </si>
  <si>
    <t xml:space="preserve">Duration (days)</t>
  </si>
  <si>
    <t xml:space="preserve">Effort (Allen hrs)</t>
  </si>
  <si>
    <t xml:space="preserve">Owner</t>
  </si>
  <si>
    <t xml:space="preserve">Status</t>
  </si>
  <si>
    <t xml:space="preserve">Goal</t>
  </si>
  <si>
    <t xml:space="preserve">Notes</t>
  </si>
  <si>
    <t xml:space="preserve">1</t>
  </si>
  <si>
    <t xml:space="preserve">1 - Training Redesign</t>
  </si>
  <si>
    <t xml:space="preserve">LANE 1 — Training Redesign (Pharmacy prototype + Docebo co-lead)</t>
  </si>
  <si>
    <t xml:space="preserve">Allen</t>
  </si>
  <si>
    <t xml:space="preserve">In Progress</t>
  </si>
  <si>
    <t xml:space="preserve">Obj 1 + Obj 3</t>
  </si>
  <si>
    <t xml:space="preserve">Pharmacy = prototype; IDHS 9/14 = proof point; FusionEHR Q4 = first EHR application of pattern.</t>
  </si>
  <si>
    <t xml:space="preserve">1.1</t>
  </si>
  <si>
    <t xml:space="preserve">    Pharmacy framework + IDHS scope lock</t>
  </si>
  <si>
    <t xml:space="preserve">Allen / Kayla</t>
  </si>
  <si>
    <t xml:space="preserve">1.1.1</t>
  </si>
  <si>
    <t xml:space="preserve">        Kayla GO/NO-GO decision on pharmacy redesign approach</t>
  </si>
  <si>
    <t xml:space="preserve">Kayla (Allen flag)</t>
  </si>
  <si>
    <t xml:space="preserve">Decision Required</t>
  </si>
  <si>
    <t xml:space="preserve">Obj 1</t>
  </si>
  <si>
    <t xml:space="preserve">UNSOLICITED work sent 6/14-6/15: framework + Prescriber facilitator guide + learner packet + pharmacy L1/L2 study guides. Kayla has NOT given direction. The ask is a directional yes/no, NOT detailed feedback. Lane 1 pharmacy redesign (1.1.2-1.6.5) AND pharmacy assessment (2.4.x) are CONTINGENT on this decision. Decision point: next 1:1 (Mon 6/22).</t>
  </si>
  <si>
    <t xml:space="preserve">1.1.2</t>
  </si>
  <si>
    <t xml:space="preserve">        Lock template per Kayla feedback</t>
  </si>
  <si>
    <t xml:space="preserve">Contingent</t>
  </si>
  <si>
    <t xml:space="preserve">Lock structure: ILT redesign + facilitator guide + learner packet (Tip Guide replacement) + eLearning pre-req + JIT job aid.</t>
  </si>
  <si>
    <t xml:space="preserve">1.1.3</t>
  </si>
  <si>
    <t xml:space="preserve">        Confirm IDHS Pilot Wave 1 roles attending</t>
  </si>
  <si>
    <t xml:space="preserve">Allen + Steph</t>
  </si>
  <si>
    <t xml:space="preserve">Not Started</t>
  </si>
  <si>
    <t xml:space="preserve">Determines minimum prototype scope. Likely Prescriber + 1 other (Pharmacist/Nurse). Ask Steph + Dylan.</t>
  </si>
  <si>
    <t xml:space="preserve">1.1.4</t>
  </si>
  <si>
    <t xml:space="preserve">        Scope MVP: 2 roles E2E by 9/14, rest in Q4</t>
  </si>
  <si>
    <t xml:space="preserve">1.1.2, 1.1.3</t>
  </si>
  <si>
    <t xml:space="preserve">Trade scope for quality: 2 roles fully built by IDHS, remaining 3 in Q4. Document the scope cut explicitly.</t>
  </si>
  <si>
    <t xml:space="preserve">1.2</t>
  </si>
  <si>
    <t xml:space="preserve">    Pharmacy prototype — Role 1 (Prescriber, anchor)</t>
  </si>
  <si>
    <t xml:space="preserve">Anchor role — pattern emerges from this build.</t>
  </si>
  <si>
    <t xml:space="preserve">1.2.1</t>
  </si>
  <si>
    <t xml:space="preserve">        ILT facilitator guide redesign — Prescriber</t>
  </si>
  <si>
    <t xml:space="preserve">Build on 6/14 sample. Scenario-driven, decision-based, knowledge checks that surface job consequences.</t>
  </si>
  <si>
    <t xml:space="preserve">1.2.2</t>
  </si>
  <si>
    <t xml:space="preserve">        Learner packet — Prescriber (Tip Guide replacement)</t>
  </si>
  <si>
    <t xml:space="preserve">Replaces legacy Tip Guides. Job-aid format, role-aligned, workflow-anchored.</t>
  </si>
  <si>
    <t xml:space="preserve">1.2.3</t>
  </si>
  <si>
    <t xml:space="preserve">        eLearning pre-req design + storyboard — Prescriber</t>
  </si>
  <si>
    <t xml:space="preserve">Parallel with 1.2.2. This is the Obj 3 'interactive, adult-learning-based module' deliverable.</t>
  </si>
  <si>
    <t xml:space="preserve">1.2.4</t>
  </si>
  <si>
    <t xml:space="preserve">        JIT job aid design — Prescriber</t>
  </si>
  <si>
    <t xml:space="preserve">Just-in-time micro-aids for at-workstation use during real work.</t>
  </si>
  <si>
    <t xml:space="preserve">1.2.5</t>
  </si>
  <si>
    <t xml:space="preserve">        SME accuracy review — Prescriber (Dylan/Isaac)</t>
  </si>
  <si>
    <t xml:space="preserve">1.2.2, 1.2.3, 1.2.4</t>
  </si>
  <si>
    <t xml:space="preserve">Dylan/Isaac (Allen coord)</t>
  </si>
  <si>
    <t xml:space="preserve">Pharmacy SMEs (Dylan/Isaac), NOT Dom. Independent of Dom queue.</t>
  </si>
  <si>
    <t xml:space="preserve">1.2.6</t>
  </si>
  <si>
    <t xml:space="preserve">        Final revisions — Prescriber</t>
  </si>
  <si>
    <t xml:space="preserve">1.3</t>
  </si>
  <si>
    <t xml:space="preserve">    Pharmacy prototype — Role 2 (TBD: confirm at 1.1.3)</t>
  </si>
  <si>
    <t xml:space="preserve">Mirror Role 1 build, faster with pattern in hand.</t>
  </si>
  <si>
    <t xml:space="preserve">1.3.1</t>
  </si>
  <si>
    <t xml:space="preserve">        ILT facilitator guide redesign — Role 2</t>
  </si>
  <si>
    <t xml:space="preserve">Lag Prescriber by ~2 weeks so pattern is established.</t>
  </si>
  <si>
    <t xml:space="preserve">1.3.2</t>
  </si>
  <si>
    <t xml:space="preserve">        Learner packet — Role 2</t>
  </si>
  <si>
    <t xml:space="preserve">1.3.3</t>
  </si>
  <si>
    <t xml:space="preserve">        eLearning pre-req design + storyboard — Role 2</t>
  </si>
  <si>
    <t xml:space="preserve">1.3.4</t>
  </si>
  <si>
    <t xml:space="preserve">        JIT job aid design — Role 2</t>
  </si>
  <si>
    <t xml:space="preserve">1.3.5</t>
  </si>
  <si>
    <t xml:space="preserve">        SME accuracy review — Role 2</t>
  </si>
  <si>
    <t xml:space="preserve">1.3.2, 1.3.3, 1.3.4</t>
  </si>
  <si>
    <t xml:space="preserve">1.3.6</t>
  </si>
  <si>
    <t xml:space="preserve">        Final revisions — Role 2</t>
  </si>
  <si>
    <t xml:space="preserve">1.4</t>
  </si>
  <si>
    <t xml:space="preserve">    Build Pattern doc (scaffolding for Steph + future authors)</t>
  </si>
  <si>
    <t xml:space="preserve">Output layer (modules) + scaffolding layer (this). Without scaffolding, 'try to do things like Allen did' produces a polished user-manual dump.</t>
  </si>
  <si>
    <t xml:space="preserve">1.4.1</t>
  </si>
  <si>
    <t xml:space="preserve">        Draft pattern structure (intro → scenario → KC → application → assessment)</t>
  </si>
  <si>
    <t xml:space="preserve">1.4.2</t>
  </si>
  <si>
    <t xml:space="preserve">        Document decision rules (async vs ILT, scenario vs explanation)</t>
  </si>
  <si>
    <t xml:space="preserve">Obj 3</t>
  </si>
  <si>
    <t xml:space="preserve">1.4.3</t>
  </si>
  <si>
    <t xml:space="preserve">        Annotated example walk-through using Prescriber as exemplar</t>
  </si>
  <si>
    <t xml:space="preserve">1.4.2, 1.2.6</t>
  </si>
  <si>
    <t xml:space="preserve">1.5</t>
  </si>
  <si>
    <t xml:space="preserve">    IDHS Sept 14 proof point</t>
  </si>
  <si>
    <t xml:space="preserve">1.2.6, 1.3.6</t>
  </si>
  <si>
    <t xml:space="preserve">Pharmacy handoff (Kayla B's Obj 2) lands here via prototype delivery.</t>
  </si>
  <si>
    <t xml:space="preserve">1.5.1</t>
  </si>
  <si>
    <t xml:space="preserve">        Delivery prep &amp; run-through</t>
  </si>
  <si>
    <t xml:space="preserve">Obj 1 + Obj 2</t>
  </si>
  <si>
    <t xml:space="preserve">1.5.2</t>
  </si>
  <si>
    <t xml:space="preserve">        IDHS Pilot Wave 1 delivery (pharmacy)</t>
  </si>
  <si>
    <t xml:space="preserve">30 hrs delivery = pharmacy handoff proof. Counted as Lane 1 work this week, displaces other dept hours.</t>
  </si>
  <si>
    <t xml:space="preserve">1.5.3</t>
  </si>
  <si>
    <t xml:space="preserve">        Post-delivery retro &amp; pattern refinement</t>
  </si>
  <si>
    <t xml:space="preserve">1.6</t>
  </si>
  <si>
    <t xml:space="preserve">    Pharmacy remaining roles (Q4 build, post-proof)</t>
  </si>
  <si>
    <t xml:space="preserve">Roles 3-5 using proven pattern. Lighter effort/role.</t>
  </si>
  <si>
    <t xml:space="preserve">1.6.1</t>
  </si>
  <si>
    <t xml:space="preserve">        Roles 3-5 build using proven pattern</t>
  </si>
  <si>
    <t xml:space="preserve">1.6.2</t>
  </si>
  <si>
    <t xml:space="preserve">        SME accuracy pass (remaining roles)</t>
  </si>
  <si>
    <t xml:space="preserve">1.6.3</t>
  </si>
  <si>
    <t xml:space="preserve">        Steph publishes pharmacy modules to Docebo</t>
  </si>
  <si>
    <t xml:space="preserve">Steph</t>
  </si>
  <si>
    <t xml:space="preserve">0 hrs Allen — Steph builds from Allen's authored content per build pattern.</t>
  </si>
  <si>
    <t xml:space="preserve">1.6.4</t>
  </si>
  <si>
    <t xml:space="preserve">        Allen QA on Steph's published modules</t>
  </si>
  <si>
    <t xml:space="preserve">Pattern enforcement. Parallel with publish.</t>
  </si>
  <si>
    <t xml:space="preserve">1.6.5</t>
  </si>
  <si>
    <t xml:space="preserve">        Pharmacy suite launch</t>
  </si>
  <si>
    <t xml:space="preserve">Full pharmacy LMS suite live. Closes Steph's Obj 1 'Pharmacy LMS trainings' line.</t>
  </si>
  <si>
    <t xml:space="preserve">1.7</t>
  </si>
  <si>
    <t xml:space="preserve">    Docebo co-lead with Steph (Obj 3 — Workstream A)</t>
  </si>
  <si>
    <t xml:space="preserve">Steph leads backend (taxonomy, dashboards, publishing). Allen co-leads ID design + pattern enforcement.</t>
  </si>
  <si>
    <t xml:space="preserve">1.7.1</t>
  </si>
  <si>
    <t xml:space="preserve">        Current-state audit — role gap mapping contribution</t>
  </si>
  <si>
    <t xml:space="preserve">Steph back from HI week of 6/22. Allen contributes role-gap analysis; Steph handles inventory + usage data.</t>
  </si>
  <si>
    <t xml:space="preserve">1.7.2</t>
  </si>
  <si>
    <t xml:space="preserve">        Role-based taxonomy design with Steph</t>
  </si>
  <si>
    <t xml:space="preserve">1.7.1, 1.1.2</t>
  </si>
  <si>
    <t xml:space="preserve">Lock taxonomy before Steph's FusionEHR build starts (8/21). Otherwise FusionEHR gets retrofitted later.</t>
  </si>
  <si>
    <t xml:space="preserve">1.7.3</t>
  </si>
  <si>
    <t xml:space="preserve">        Pattern enforcement — FusionEHR build review (Steph)</t>
  </si>
  <si>
    <t xml:space="preserve">1.7.2, 1.4.3</t>
  </si>
  <si>
    <t xml:space="preserve">First Steph build using new pattern. Spot-check + redirect if needed.</t>
  </si>
  <si>
    <t xml:space="preserve">1.7.4</t>
  </si>
  <si>
    <t xml:space="preserve">        Ongoing build pattern reviews (eMAR, Order Mgr, CPOE, Lab Mgr)</t>
  </si>
  <si>
    <t xml:space="preserve">Rolling: eMAR ~10/2, Order Mgr ~11/6, CPOE ~12/4, Lab Mgr ~1/1/27. 3 hrs per review.</t>
  </si>
  <si>
    <t xml:space="preserve">2</t>
  </si>
  <si>
    <t xml:space="preserve">2 - Certification</t>
  </si>
  <si>
    <t xml:space="preserve">LANE 2 — Certification / Assessment</t>
  </si>
  <si>
    <t xml:space="preserve">Obj 2</t>
  </si>
  <si>
    <t xml:space="preserve">EHR cert program is the spine. Team / Contractor / Pharmacy / Client Ops are deployments to populations.</t>
  </si>
  <si>
    <t xml:space="preserve">2.1</t>
  </si>
  <si>
    <t xml:space="preserve">    EHR L1+L2 study guide &amp; cert program design</t>
  </si>
  <si>
    <t xml:space="preserve">Allen + Dom</t>
  </si>
  <si>
    <t xml:space="preserve">Load-bearing for all of Lane 2 — every downstream deployment uses this design.</t>
  </si>
  <si>
    <t xml:space="preserve">2.1.1</t>
  </si>
  <si>
    <t xml:space="preserve">        Dom SME review of L1 + L2 (waiting + escalation if needed)</t>
  </si>
  <si>
    <t xml:space="preserve">Dom (Allen monitor)</t>
  </si>
  <si>
    <t xml:space="preserve">Waiting</t>
  </si>
  <si>
    <t xml:space="preserve">L1 with Dom ~13 days no movement. L2 added 6/16. ESCALATE TO KAYLA if no response by EOW 6/19.</t>
  </si>
  <si>
    <t xml:space="preserve">2.1.2</t>
  </si>
  <si>
    <t xml:space="preserve">        Incorporate Dom feedback into L1 + L2</t>
  </si>
  <si>
    <t xml:space="preserve">2.1.3</t>
  </si>
  <si>
    <t xml:space="preserve">        Lock cert program structure (scoring, retake, renewal policy)</t>
  </si>
  <si>
    <t xml:space="preserve">Allen + Kayla + Adam</t>
  </si>
  <si>
    <t xml:space="preserve">Define 'Phase 1' bar for both G (contractor) and I (Client Ops) so year-end measurement is unambiguous.</t>
  </si>
  <si>
    <t xml:space="preserve">2.2</t>
  </si>
  <si>
    <t xml:space="preserve">    Team product knowledge ≥90% (target 8/31)</t>
  </si>
  <si>
    <t xml:space="preserve">Allen + Kayla</t>
  </si>
  <si>
    <t xml:space="preserve">Tracker reads 'End Q2' — confirm extension to 8/31.</t>
  </si>
  <si>
    <t xml:space="preserve">2.2.1</t>
  </si>
  <si>
    <t xml:space="preserve">        Team enrollment &amp; comms</t>
  </si>
  <si>
    <t xml:space="preserve">2.2.2</t>
  </si>
  <si>
    <t xml:space="preserve">        Team study window</t>
  </si>
  <si>
    <t xml:space="preserve">L&amp;D team self-study</t>
  </si>
  <si>
    <t xml:space="preserve">0 hrs Allen.</t>
  </si>
  <si>
    <t xml:space="preserve">2.2.3</t>
  </si>
  <si>
    <t xml:space="preserve">        Assessment delivery + scoring</t>
  </si>
  <si>
    <t xml:space="preserve">2.2.4</t>
  </si>
  <si>
    <t xml:space="preserve">        Remediation for anyone &lt;90% (cohort retake)</t>
  </si>
  <si>
    <t xml:space="preserve">Aug 31 deadline. If Dom slips and 2.1.x compresses, F target is the first to break.</t>
  </si>
  <si>
    <t xml:space="preserve">2.3</t>
  </si>
  <si>
    <t xml:space="preserve">    Contractor cert Phase 1 (Q3 + rolling pre-assignment)</t>
  </si>
  <si>
    <t xml:space="preserve">Allen + Kayla B</t>
  </si>
  <si>
    <t xml:space="preserve">Rolling: 100% certified before each contractor's first Q3 assignment.</t>
  </si>
  <si>
    <t xml:space="preserve">2.3.1</t>
  </si>
  <si>
    <t xml:space="preserve">        Q3 contractor-to-assignment map (RI DOC 6/29, DC DYRS 7/27, IL DOC SU 8/17, IDHS 9/14)</t>
  </si>
  <si>
    <t xml:space="preserve">Allen + Kayla B + Adam</t>
  </si>
  <si>
    <t xml:space="preserve">Critical visibility task. Raise at tomorrow's L&amp;D Weekly. Connects to AB Staffing risk on Pharmacy Adoption slide.</t>
  </si>
  <si>
    <t xml:space="preserve">2.3.2</t>
  </si>
  <si>
    <t xml:space="preserve">        Pre-Phase-1 exception decisions (e.g., RI DOC Maurice 6/29)</t>
  </si>
  <si>
    <t xml:space="preserve">Maurice delivers RI DOC week of 6/29 — too early for Phase 1 cert. Decide: carve-out or scope shifts forward.</t>
  </si>
  <si>
    <t xml:space="preserve">2.3.3</t>
  </si>
  <si>
    <t xml:space="preserve">        Contractor cert curriculum design (uses 2.1 outputs)</t>
  </si>
  <si>
    <t xml:space="preserve">2.3.4</t>
  </si>
  <si>
    <t xml:space="preserve">        Cohort 1 — DC DYRS contractors (cert before 7/27)</t>
  </si>
  <si>
    <t xml:space="preserve">Allen + contractors</t>
  </si>
  <si>
    <t xml:space="preserve">Compressed window. May need accelerated cert or exception.</t>
  </si>
  <si>
    <t xml:space="preserve">2.3.5</t>
  </si>
  <si>
    <t xml:space="preserve">        Cohort 2 — IL DOC SU contractors (cert before 8/17)</t>
  </si>
  <si>
    <t xml:space="preserve">2.3.6</t>
  </si>
  <si>
    <t xml:space="preserve">        Cohort 3 — IDHS contractors incl. AB Staffing (cert before 9/14)</t>
  </si>
  <si>
    <t xml:space="preserve">Addresses AB Staffing (Bricen, Jason) risk on Pharmacy Adoption slide.</t>
  </si>
  <si>
    <t xml:space="preserve">2.3.7</t>
  </si>
  <si>
    <t xml:space="preserve">        Phase 1 launch package documented</t>
  </si>
  <si>
    <t xml:space="preserve">2.3.4, 2.3.5, 2.3.6</t>
  </si>
  <si>
    <t xml:space="preserve">Curriculum + assessment + attestation tracker. Closes G goal by 9/30.</t>
  </si>
  <si>
    <t xml:space="preserve">2.4</t>
  </si>
  <si>
    <t xml:space="preserve">    Pharmacy assessment (cert tied to prototype)</t>
  </si>
  <si>
    <t xml:space="preserve">1.1.4, 2.1.3</t>
  </si>
  <si>
    <t xml:space="preserve">Allen + Dylan/Isaac</t>
  </si>
  <si>
    <t xml:space="preserve">Pharmacy study guides L1/L2 sent 6/15 (CIPS, CIPS Remote, sMARt). SME review = Dylan/Isaac (Pharmacy Support), NOT Dom.</t>
  </si>
  <si>
    <t xml:space="preserve">2.4.1</t>
  </si>
  <si>
    <t xml:space="preserve">        Pharmacy L1/L2 study guides SME review (Dylan/Isaac)</t>
  </si>
  <si>
    <t xml:space="preserve">Pharmacy guides sent 6/15 to Kayla. Routes through Dylan/Isaac as pharmacy SMEs, NOT Dom (Dom = EHR-side curriculum review). Independent of Dom queue — can move in parallel.</t>
  </si>
  <si>
    <t xml:space="preserve">2.4.2</t>
  </si>
  <si>
    <t xml:space="preserve">        Pharmacy cert structure decision (sub-cert under EHR? or standalone?)</t>
  </si>
  <si>
    <t xml:space="preserve">2.4.3</t>
  </si>
  <si>
    <t xml:space="preserve">        Pharmacy assessment build (per role)</t>
  </si>
  <si>
    <t xml:space="preserve">2.4.1, 2.4.2</t>
  </si>
  <si>
    <t xml:space="preserve">2.4.4</t>
  </si>
  <si>
    <t xml:space="preserve">        IDHS Pilot cert delivery (alongside ILT 9/14)</t>
  </si>
  <si>
    <t xml:space="preserve">2.4.3, 1.5.1</t>
  </si>
  <si>
    <t xml:space="preserve">Cert assessment runs alongside the prototype delivery.</t>
  </si>
  <si>
    <t xml:space="preserve">2.5</t>
  </si>
  <si>
    <t xml:space="preserve">    Role-based EHR cert — FusionEHR (first EHR application)</t>
  </si>
  <si>
    <t xml:space="preserve">1.5.3, 2.1.3</t>
  </si>
  <si>
    <t xml:space="preserve">Honest scope cut: FusionEHR cert by Q4. Remaining EHR apps (eMAR, OM, CPOE, Lab) roll into Q1-Q2 2027.</t>
  </si>
  <si>
    <t xml:space="preserve">2.5.1</t>
  </si>
  <si>
    <t xml:space="preserve">        FusionEHR role mapping (using proven pharmacy pattern)</t>
  </si>
  <si>
    <t xml:space="preserve">2.5.2</t>
  </si>
  <si>
    <t xml:space="preserve">        FusionEHR cert curriculum design</t>
  </si>
  <si>
    <t xml:space="preserve">2.5.3</t>
  </si>
  <si>
    <t xml:space="preserve">        FusionEHR cert assessment build</t>
  </si>
  <si>
    <t xml:space="preserve">2.5.4</t>
  </si>
  <si>
    <t xml:space="preserve">        FusionEHR cert launch (Q4 milestone — Obj 1 + Obj 3 hit)</t>
  </si>
  <si>
    <t xml:space="preserve">2.6</t>
  </si>
  <si>
    <t xml:space="preserve">    Internal Client Ops cert Phase 1 (co with Kayla T)</t>
  </si>
  <si>
    <t xml:space="preserve">Allen + Kayla T + Adam</t>
  </si>
  <si>
    <t xml:space="preserve">Target ≥90% Client Ops certified by Q4 end.</t>
  </si>
  <si>
    <t xml:space="preserve">2.6.1</t>
  </si>
  <si>
    <t xml:space="preserve">        Client Ops curriculum design (uses pharmacy + FusionEHR outputs)</t>
  </si>
  <si>
    <t xml:space="preserve">1.5.3, 2.5.1</t>
  </si>
  <si>
    <t xml:space="preserve">Allen + Kayla T</t>
  </si>
  <si>
    <t xml:space="preserve">2.6.2</t>
  </si>
  <si>
    <t xml:space="preserve">        Adam coordination — Client Ops roster + enrollment plan</t>
  </si>
  <si>
    <t xml:space="preserve">Allen + Adam</t>
  </si>
  <si>
    <t xml:space="preserve">2.6.3</t>
  </si>
  <si>
    <t xml:space="preserve">        Phase 1 launch to Client Ops</t>
  </si>
  <si>
    <t xml:space="preserve">2.6.4</t>
  </si>
  <si>
    <t xml:space="preserve">        Completion drive (Kayla T leads, Allen support)</t>
  </si>
  <si>
    <t xml:space="preserve">Kayla T + Allen</t>
  </si>
  <si>
    <t xml:space="preserve">2.6.5</t>
  </si>
  <si>
    <t xml:space="preserve">        ≥90% Client Ops certified — verification (Q4 milestone)</t>
  </si>
  <si>
    <t xml:space="preserve">TOTAL</t>
  </si>
  <si>
    <t xml:space="preserve">Type</t>
  </si>
  <si>
    <t xml:space="preserve">Name</t>
  </si>
  <si>
    <t xml:space="preserve">Date</t>
  </si>
  <si>
    <t xml:space="preserve">Lane / Goal</t>
  </si>
  <si>
    <t xml:space="preserve">Allen Role</t>
  </si>
  <si>
    <t xml:space="preserve">External - Client</t>
  </si>
  <si>
    <t xml:space="preserve">RI DOC vILT (Maurice delivers, Allen prep support)</t>
  </si>
  <si>
    <t xml:space="preserve">Client work</t>
  </si>
  <si>
    <t xml:space="preserve">Support</t>
  </si>
  <si>
    <t xml:space="preserve">Maurice access: UAT (Rachel), LMS (via Steph/Allen as backup), agenda confirm (Kayla/Rachel).</t>
  </si>
  <si>
    <t xml:space="preserve">Internal - Decision</t>
  </si>
  <si>
    <t xml:space="preserve">Kayla framework decision deadline</t>
  </si>
  <si>
    <t xml:space="preserve">Lane 1 - Obj 1</t>
  </si>
  <si>
    <t xml:space="preserve">Awaiting</t>
  </si>
  <si>
    <t xml:space="preserve">Sent Sun 6/14. Allen check-in at 1:1.</t>
  </si>
  <si>
    <t xml:space="preserve">Q3 contractor-to-assignment map locked</t>
  </si>
  <si>
    <t xml:space="preserve">Lane 2 - Obj 2</t>
  </si>
  <si>
    <t xml:space="preserve">Lead</t>
  </si>
  <si>
    <t xml:space="preserve">Without this, 'cert before assignment' rolling deadline is invisible.</t>
  </si>
  <si>
    <t xml:space="preserve">Internal - Escalation</t>
  </si>
  <si>
    <t xml:space="preserve">Dom L1+L2 review status (escalate if no movement)</t>
  </si>
  <si>
    <t xml:space="preserve">Escalate</t>
  </si>
  <si>
    <t xml:space="preserve">L1 with Dom ~13 days as of 6/16. If silent by EOW, raise to Kayla.</t>
  </si>
  <si>
    <t xml:space="preserve">DC DYRS vILT (5 apps x 3 hrs, Allen delivers)</t>
  </si>
  <si>
    <t xml:space="preserve">Deliver</t>
  </si>
  <si>
    <t xml:space="preserve">Compliance Mgr, Non/Formulary Mgr, Group Notes, Care Plans. 7/27-31. Contractors assigned must be Cohort 1 cert'd.</t>
  </si>
  <si>
    <t xml:space="preserve">Internal - Deadline</t>
  </si>
  <si>
    <t xml:space="preserve">Cohort 1 contractor cert complete (DC DYRS)</t>
  </si>
  <si>
    <t xml:space="preserve">IL DOC Super User vILT (Centurion lead, tentative)</t>
  </si>
  <si>
    <t xml:space="preserve">Coord</t>
  </si>
  <si>
    <t xml:space="preserve">Aug 17-21. Cohort 2 contractor cert must be complete before. Allen role depends on Centurion takeover.</t>
  </si>
  <si>
    <t xml:space="preserve">Cohort 2 contractor cert complete (IL DOC SU)</t>
  </si>
  <si>
    <t xml:space="preserve">Team product knowledge &gt;=90% target</t>
  </si>
  <si>
    <t xml:space="preserve">PATH 2 FIRST HARD DEADLINE. Gates: 2.1.1 (Dom) -&gt; 2.1.2 -&gt; 2.2.x sequence.</t>
  </si>
  <si>
    <t xml:space="preserve">Cohort 3 contractor cert complete (IDHS)</t>
  </si>
  <si>
    <t xml:space="preserve">Includes AB Staffing (Bricen, Jason).</t>
  </si>
  <si>
    <t xml:space="preserve">IDHS Pilot Wave 1 Training (pharmacy prototype proof point)</t>
  </si>
  <si>
    <t xml:space="preserve">Lane 1 - Obj 1 + Obj 2</t>
  </si>
  <si>
    <t xml:space="preserve">9/14-9/18 training; 9/21-9/25 go-live. Both prototype delivery AND pharmacy handoff proof for Kayla B's goal.</t>
  </si>
  <si>
    <t xml:space="preserve">IL DOC Wave 2 EUT (Centurion lead)</t>
  </si>
  <si>
    <t xml:space="preserve">9/14-10/16, 5 weeks. Centurion delivers.</t>
  </si>
  <si>
    <t xml:space="preserve">Q3 close — Contractor Cert Phase 1 documented</t>
  </si>
  <si>
    <t xml:space="preserve">Q3 close — Pharmacy handoff (Kayla B's goal)</t>
  </si>
  <si>
    <t xml:space="preserve">Lane 1 - Obj 2</t>
  </si>
  <si>
    <t xml:space="preserve">Proof point = IDHS 9/14 delivery.</t>
  </si>
  <si>
    <t xml:space="preserve">Q3 close — Docebo reorg / role-based paths / interactive modules (Obj 3)</t>
  </si>
  <si>
    <t xml:space="preserve">Lane 1 - Obj 3</t>
  </si>
  <si>
    <t xml:space="preserve">Co-lead</t>
  </si>
  <si>
    <t xml:space="preserve">Honest scope cut: pharmacy prototype + Prescriber/Role 2 modules count toward 'interactive adult-learning modules.' Full reorg by 9/30 is Steph's lane.</t>
  </si>
  <si>
    <t xml:space="preserve">IL DOC Go-Live (Big Bang)</t>
  </si>
  <si>
    <t xml:space="preserve">High-load week.</t>
  </si>
  <si>
    <t xml:space="preserve">CO DOC Pilot EUT (Steph)</t>
  </si>
  <si>
    <t xml:space="preserve">Client work (Steph)</t>
  </si>
  <si>
    <t xml:space="preserve">Awareness</t>
  </si>
  <si>
    <t xml:space="preserve">10/5-9. Steph delivers.</t>
  </si>
  <si>
    <t xml:space="preserve">CO DOC Big Bang EUT (Steph)</t>
  </si>
  <si>
    <t xml:space="preserve">11/2-6. Steph delivers.</t>
  </si>
  <si>
    <t xml:space="preserve">US Holiday</t>
  </si>
  <si>
    <t xml:space="preserve">Thanksgiving week (reduced capacity)</t>
  </si>
  <si>
    <t xml:space="preserve">All</t>
  </si>
  <si>
    <t xml:space="preserve">N/A</t>
  </si>
  <si>
    <t xml:space="preserve">Week of 11/23 ~12 hrs available.</t>
  </si>
  <si>
    <t xml:space="preserve">FusionEHR cert launch</t>
  </si>
  <si>
    <t xml:space="preserve">Lane 2 - Obj 1 + Obj 2</t>
  </si>
  <si>
    <t xml:space="preserve">First EHR-side cert built to proven pattern.</t>
  </si>
  <si>
    <t xml:space="preserve">Pharmacy LMS suite launch (Steph's Obj 1 goal)</t>
  </si>
  <si>
    <t xml:space="preserve">Full pharmacy suite live.</t>
  </si>
  <si>
    <t xml:space="preserve">Client Ops Cert &gt;=90% verified</t>
  </si>
  <si>
    <t xml:space="preserve">Christmas / New Year (reduced capacity)</t>
  </si>
  <si>
    <t xml:space="preserve">Weeks of 12/21 and 12/28 reduced.</t>
  </si>
  <si>
    <t xml:space="preserve">Q4 close — all in-scope goals</t>
  </si>
  <si>
    <t xml:space="preserve">Week Start (Mon)</t>
  </si>
  <si>
    <t xml:space="preserve">Week End (Fri)</t>
  </si>
  <si>
    <t xml:space="preserve">Allen Available Hrs</t>
  </si>
  <si>
    <t xml:space="preserve">Lane 1 Planned</t>
  </si>
  <si>
    <t xml:space="preserve">Lane 2 Planned</t>
  </si>
  <si>
    <t xml:space="preserve">Total Planned</t>
  </si>
  <si>
    <t xml:space="preserve">Variance (Avail - Planned)</t>
  </si>
  <si>
    <t xml:space="preserve">Notes / Constraints</t>
  </si>
  <si>
    <t xml:space="preserve">Current week. Mostly waiting on Kayla framework + Dom L1. Steph LMS backup ad-hoc.</t>
  </si>
  <si>
    <t xml:space="preserve">Steph back. IDHS scope confirm, contractor map, Docebo audit support.</t>
  </si>
  <si>
    <t xml:space="preserve">RI DOC vILT week. Allen support only; Maurice delivers. Lock framework template, scope MVP.</t>
  </si>
  <si>
    <t xml:space="preserve">Prescriber ILT redesign begins, Dom feedback incorporation, taxonomy design with Steph.</t>
  </si>
  <si>
    <t xml:space="preserve">Heavy Prescriber build + Cohort 1 contractor cert delivery.</t>
  </si>
  <si>
    <t xml:space="preserve">Role 2 ILT begins, Prescriber wraps, lock cert program structure.</t>
  </si>
  <si>
    <t xml:space="preserve">DC DYRS vILT (15 hrs delivery, not in dept hrs). Cohort 2 cert begins.</t>
  </si>
  <si>
    <t xml:space="preserve">Prescriber learner packet + eLearning storyboard, Role 2 ILT, pharmacy cert structure.</t>
  </si>
  <si>
    <t xml:space="preserve">Heavy Role 2 + Prescriber JIT, Pattern doc decision rules. Team study window (self-study).</t>
  </si>
  <si>
    <t xml:space="preserve">IL DOC SU week (tentative attendance). Team assessment delivery, FusionEHR Steph build review.</t>
  </si>
  <si>
    <t xml:space="preserve">SME reviews, Team remediation, pattern doc walkthrough.</t>
  </si>
  <si>
    <t xml:space="preserve">Final revisions Roles 1+2, pattern doc complete. F deadline 8/31.</t>
  </si>
  <si>
    <t xml:space="preserve">IDHS prep + run-through, Cohort 3 cert wraps.</t>
  </si>
  <si>
    <t xml:space="preserve">IDHS Pilot DELIVERY (pharmacy prototype proof). Dept work paused.</t>
  </si>
  <si>
    <t xml:space="preserve">Post-delivery retro + FusionEHR mapping + Client Ops curriculum begins. IL DOC EUT begins (Centurion).</t>
  </si>
  <si>
    <t xml:space="preserve">Pharmacy remaining roles build begins. Q3 close. FusionEHR mapping wraps.</t>
  </si>
  <si>
    <t xml:space="preserve">FusionEHR cert curriculum design begins. CO DOC Pilot (Steph).</t>
  </si>
  <si>
    <t xml:space="preserve">FusionEHR cert continues. IL DOC EUT wraps 10/16.</t>
  </si>
  <si>
    <t xml:space="preserve">IL DOC Big Bang week. Client Ops Phase 1 launch.</t>
  </si>
  <si>
    <t xml:space="preserve">Recovery. Pharmacy roles continue, FusionEHR curriculum wraps.</t>
  </si>
  <si>
    <t xml:space="preserve">FusionEHR assessment build. CO DOC Big Bang (Steph).</t>
  </si>
  <si>
    <t xml:space="preserve">Pharmacy roles build wraps. FusionEHR assessment continues.</t>
  </si>
  <si>
    <t xml:space="preserve">SME pass on pharmacy roles, FusionEHR assessment wraps.</t>
  </si>
  <si>
    <t xml:space="preserve">Thanksgiving week (Thu/Fri off). Light work.</t>
  </si>
  <si>
    <t xml:space="preserve">Pharmacy QA + Steph publishing. FusionEHR cert launch prep.</t>
  </si>
  <si>
    <t xml:space="preserve">FusionEHR cert LAUNCH. Pharmacy QA continues. Client Ops completion drive.</t>
  </si>
  <si>
    <t xml:space="preserve">Pharmacy suite LAUNCH. Client Ops verification kicks off.</t>
  </si>
  <si>
    <t xml:space="preserve">Christmas week. Most folks PTO.</t>
  </si>
  <si>
    <t xml:space="preserve">Year-end. Client Ops &gt;=90% final verification.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</si>
</sst>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BEAEA"/>
        <bgColor rgb="FFFBEEDA"/>
      </patternFill>
    </fill>
    <fill>
      <patternFill patternType="solid">
        <fgColor rgb="FF2F4F6F"/>
        <bgColor rgb="FF333333"/>
      </patternFill>
    </fill>
    <fill>
      <patternFill patternType="solid">
        <fgColor rgb="FFE8F0FA"/>
        <bgColor rgb="FFF1EFE8"/>
      </patternFill>
    </fill>
    <fill>
      <patternFill patternType="solid">
        <fgColor rgb="FFFBEEDA"/>
        <bgColor rgb="FFFBEAEA"/>
      </patternFill>
    </fill>
    <fill>
      <patternFill patternType="solid">
        <fgColor rgb="FFF1EFE8"/>
        <bgColor rgb="FFFBEA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BEEDA"/>
      <rgbColor rgb="FFE8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CCFFCC"/>
      <rgbColor rgb="FFFBEA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5" t="s">
        <v>5</v>
      </c>
    </row>
    <row r="9" customFormat="false" ht="23.85" hidden="false" customHeight="false" outlineLevel="0" collapsed="false">
      <c r="A9" s="6" t="s">
        <v>6</v>
      </c>
    </row>
    <row r="10" customFormat="false" ht="23.85" hidden="false" customHeight="false" outlineLevel="0" collapsed="false">
      <c r="A10" s="6" t="s">
        <v>7</v>
      </c>
    </row>
    <row r="11" customFormat="false" ht="23.85" hidden="false" customHeight="false" outlineLevel="0" collapsed="false">
      <c r="A11" s="6" t="s">
        <v>8</v>
      </c>
    </row>
    <row r="12" customFormat="false" ht="15" hidden="false" customHeight="false" outlineLevel="0" collapsed="false">
      <c r="A12" s="6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4" t="s">
        <v>20</v>
      </c>
    </row>
    <row r="27" customFormat="false" ht="15" hidden="false" customHeight="false" outlineLevel="0" collapsed="false">
      <c r="A27" s="4" t="s">
        <v>21</v>
      </c>
    </row>
    <row r="28" customFormat="false" ht="15" hidden="false" customHeight="false" outlineLevel="0" collapsed="false">
      <c r="A28" s="4" t="s">
        <v>22</v>
      </c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4" t="s">
        <v>24</v>
      </c>
    </row>
    <row r="31" customFormat="false" ht="23.85" hidden="false" customHeight="false" outlineLevel="0" collapsed="false">
      <c r="A31" s="4" t="s">
        <v>25</v>
      </c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4" t="s">
        <v>27</v>
      </c>
    </row>
    <row r="35" customFormat="false" ht="15" hidden="false" customHeight="false" outlineLevel="0" collapsed="false">
      <c r="A35" s="4" t="s">
        <v>28</v>
      </c>
    </row>
    <row r="36" customFormat="false" ht="15" hidden="false" customHeight="false" outlineLevel="0" collapsed="false">
      <c r="A36" s="4" t="s">
        <v>29</v>
      </c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4" t="s">
        <v>31</v>
      </c>
    </row>
    <row r="40" customFormat="false" ht="15" hidden="false" customHeight="false" outlineLevel="0" collapsed="false">
      <c r="A40" s="4" t="s">
        <v>32</v>
      </c>
    </row>
    <row r="41" customFormat="false" ht="15" hidden="false" customHeight="false" outlineLevel="0" collapsed="false">
      <c r="A41" s="4" t="s">
        <v>33</v>
      </c>
    </row>
    <row r="42" customFormat="false" ht="15" hidden="false" customHeight="false" outlineLevel="0" collapsed="false">
      <c r="A42" s="4" t="s">
        <v>34</v>
      </c>
    </row>
    <row r="43" customFormat="false" ht="15" hidden="false" customHeight="false" outlineLevel="0" collapsed="false">
      <c r="A43" s="2"/>
    </row>
    <row r="44" customFormat="false" ht="15" hidden="false" customHeight="false" outlineLevel="0" collapsed="false">
      <c r="A44" s="3" t="s">
        <v>35</v>
      </c>
    </row>
    <row r="45" customFormat="false" ht="15" hidden="false" customHeight="false" outlineLevel="0" collapsed="false">
      <c r="A45" s="4" t="s">
        <v>36</v>
      </c>
    </row>
    <row r="46" customFormat="false" ht="15" hidden="false" customHeight="false" outlineLevel="0" collapsed="false">
      <c r="A46" s="4" t="s">
        <v>37</v>
      </c>
    </row>
    <row r="47" customFormat="false" ht="15" hidden="false" customHeight="false" outlineLevel="0" collapsed="false">
      <c r="A47" s="4" t="s">
        <v>38</v>
      </c>
    </row>
    <row r="48" customFormat="false" ht="15" hidden="false" customHeight="false" outlineLevel="0" collapsed="false">
      <c r="A48" s="4" t="s">
        <v>39</v>
      </c>
    </row>
    <row r="49" customFormat="false" ht="15" hidden="false" customHeight="false" outlineLevel="0" collapsed="false">
      <c r="A49" s="4" t="s">
        <v>40</v>
      </c>
    </row>
    <row r="50" customFormat="false" ht="15" hidden="false" customHeight="false" outlineLevel="0" collapsed="false">
      <c r="A50" s="4" t="s">
        <v>41</v>
      </c>
    </row>
    <row r="51" customFormat="false" ht="15" hidden="false" customHeight="false" outlineLevel="0" collapsed="false">
      <c r="A51" s="4" t="s">
        <v>42</v>
      </c>
    </row>
    <row r="52" customFormat="false" ht="15" hidden="false" customHeight="false" outlineLevel="0" collapsed="false">
      <c r="A52" s="4" t="s">
        <v>43</v>
      </c>
    </row>
    <row r="53" customFormat="false" ht="15" hidden="false" customHeight="false" outlineLevel="0" collapsed="false">
      <c r="A53" s="4" t="s">
        <v>44</v>
      </c>
    </row>
    <row r="54" customFormat="false" ht="23.85" hidden="false" customHeight="false" outlineLevel="0" collapsed="false">
      <c r="A54" s="4" t="s">
        <v>45</v>
      </c>
    </row>
    <row r="55" customFormat="false" ht="15" hidden="false" customHeight="false" outlineLevel="0" collapsed="false">
      <c r="A55" s="4" t="s">
        <v>46</v>
      </c>
    </row>
    <row r="56" customFormat="false" ht="15" hidden="false" customHeight="false" outlineLevel="0" collapsed="false">
      <c r="A56" s="4" t="s">
        <v>47</v>
      </c>
    </row>
    <row r="57" customFormat="false" ht="15" hidden="false" customHeight="false" outlineLevel="0" collapsed="false">
      <c r="A57" s="2"/>
    </row>
    <row r="58" customFormat="false" ht="15" hidden="false" customHeight="false" outlineLevel="0" collapsed="false">
      <c r="A58" s="3" t="s">
        <v>48</v>
      </c>
    </row>
    <row r="59" customFormat="false" ht="15" hidden="false" customHeight="false" outlineLevel="0" collapsed="false">
      <c r="A59" s="4" t="s">
        <v>49</v>
      </c>
    </row>
    <row r="60" customFormat="false" ht="15" hidden="false" customHeight="false" outlineLevel="0" collapsed="false">
      <c r="A60" s="4" t="s">
        <v>50</v>
      </c>
    </row>
    <row r="61" customFormat="false" ht="15" hidden="false" customHeight="false" outlineLevel="0" collapsed="false">
      <c r="A61" s="4" t="s">
        <v>51</v>
      </c>
    </row>
    <row r="62" customFormat="false" ht="15" hidden="false" customHeight="false" outlineLevel="0" collapsed="false">
      <c r="A62" s="4" t="s">
        <v>52</v>
      </c>
    </row>
    <row r="63" customFormat="false" ht="15" hidden="false" customHeight="false" outlineLevel="0" collapsed="false">
      <c r="A63" s="2"/>
    </row>
    <row r="64" customFormat="false" ht="15" hidden="false" customHeight="false" outlineLevel="0" collapsed="false">
      <c r="A64" s="3" t="s">
        <v>53</v>
      </c>
    </row>
    <row r="65" customFormat="false" ht="15" hidden="false" customHeight="false" outlineLevel="0" collapsed="false">
      <c r="A65" s="4" t="s">
        <v>54</v>
      </c>
    </row>
    <row r="66" customFormat="false" ht="23.85" hidden="false" customHeight="false" outlineLevel="0" collapsed="false">
      <c r="A66" s="4" t="s">
        <v>55</v>
      </c>
    </row>
    <row r="67" customFormat="false" ht="15" hidden="false" customHeight="false" outlineLevel="0" collapsed="false">
      <c r="A67" s="4" t="s">
        <v>56</v>
      </c>
    </row>
    <row r="68" customFormat="false" ht="15" hidden="false" customHeight="false" outlineLevel="0" collapsed="false">
      <c r="A68" s="4" t="s">
        <v>57</v>
      </c>
    </row>
    <row r="69" customFormat="false" ht="15" hidden="false" customHeight="false" outlineLevel="0" collapsed="false">
      <c r="A69" s="4" t="s">
        <v>58</v>
      </c>
    </row>
    <row r="70" customFormat="false" ht="15" hidden="false" customHeight="false" outlineLevel="0" collapsed="false">
      <c r="A70" s="4" t="s">
        <v>59</v>
      </c>
    </row>
    <row r="71" customFormat="false" ht="23.85" hidden="false" customHeight="false" outlineLevel="0" collapsed="false">
      <c r="A71" s="4" t="s">
        <v>60</v>
      </c>
    </row>
    <row r="72" customFormat="false" ht="15" hidden="false" customHeight="false" outlineLevel="0" collapsed="false">
      <c r="A72" s="4" t="s">
        <v>61</v>
      </c>
    </row>
    <row r="73" customFormat="false" ht="15" hidden="false" customHeight="false" outlineLevel="0" collapsed="false">
      <c r="A73" s="2"/>
    </row>
    <row r="74" customFormat="false" ht="15" hidden="false" customHeight="false" outlineLevel="0" collapsed="false">
      <c r="A74" s="3" t="s">
        <v>62</v>
      </c>
    </row>
    <row r="75" customFormat="false" ht="15" hidden="false" customHeight="false" outlineLevel="0" collapsed="false">
      <c r="A75" s="4" t="s">
        <v>63</v>
      </c>
    </row>
    <row r="76" customFormat="false" ht="15" hidden="false" customHeight="false" outlineLevel="0" collapsed="false">
      <c r="A76" s="4" t="s">
        <v>64</v>
      </c>
    </row>
    <row r="77" customFormat="false" ht="15" hidden="false" customHeight="false" outlineLevel="0" collapsed="false">
      <c r="A77" s="4" t="s">
        <v>65</v>
      </c>
    </row>
    <row r="78" customFormat="false" ht="15" hidden="false" customHeight="false" outlineLevel="0" collapsed="false">
      <c r="A78" s="4" t="s">
        <v>66</v>
      </c>
    </row>
    <row r="79" customFormat="false" ht="23.85" hidden="false" customHeight="false" outlineLevel="0" collapsed="false">
      <c r="A79" s="4" t="s">
        <v>67</v>
      </c>
    </row>
    <row r="80" customFormat="false" ht="15" hidden="false" customHeight="false" outlineLevel="0" collapsed="false">
      <c r="A80" s="4" t="s">
        <v>68</v>
      </c>
    </row>
    <row r="81" customFormat="false" ht="15" hidden="false" customHeight="false" outlineLevel="0" collapsed="false">
      <c r="A81" s="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56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9" min="8" style="0" width="10"/>
    <col collapsed="false" customWidth="true" hidden="false" outlineLevel="0" max="10" min="10" style="0" width="22"/>
    <col collapsed="false" customWidth="true" hidden="false" outlineLevel="0" max="12" min="11" style="0" width="14"/>
    <col collapsed="false" customWidth="true" hidden="false" outlineLevel="0" max="13" min="13" style="0" width="50"/>
  </cols>
  <sheetData>
    <row r="1" customFormat="false" ht="39.55" hidden="false" customHeight="false" outlineLevel="0" collapsed="false">
      <c r="A1" s="7" t="s">
        <v>70</v>
      </c>
      <c r="B1" s="7" t="s">
        <v>71</v>
      </c>
      <c r="C1" s="7" t="s">
        <v>72</v>
      </c>
      <c r="D1" s="7" t="s">
        <v>73</v>
      </c>
      <c r="E1" s="7" t="s">
        <v>74</v>
      </c>
      <c r="F1" s="7" t="s">
        <v>75</v>
      </c>
      <c r="G1" s="7" t="s">
        <v>76</v>
      </c>
      <c r="H1" s="7" t="s">
        <v>77</v>
      </c>
      <c r="I1" s="7" t="s">
        <v>78</v>
      </c>
      <c r="J1" s="7" t="s">
        <v>79</v>
      </c>
      <c r="K1" s="7" t="s">
        <v>80</v>
      </c>
      <c r="L1" s="7" t="s">
        <v>81</v>
      </c>
      <c r="M1" s="7" t="s">
        <v>82</v>
      </c>
    </row>
    <row r="2" customFormat="false" ht="26.85" hidden="false" customHeight="false" outlineLevel="0" collapsed="false">
      <c r="A2" s="8" t="s">
        <v>83</v>
      </c>
      <c r="B2" s="8" t="n">
        <v>1</v>
      </c>
      <c r="C2" s="8" t="s">
        <v>84</v>
      </c>
      <c r="D2" s="8" t="s">
        <v>85</v>
      </c>
      <c r="E2" s="8"/>
      <c r="F2" s="8"/>
      <c r="G2" s="8"/>
      <c r="H2" s="8"/>
      <c r="I2" s="8"/>
      <c r="J2" s="8" t="s">
        <v>86</v>
      </c>
      <c r="K2" s="8" t="s">
        <v>87</v>
      </c>
      <c r="L2" s="8" t="s">
        <v>88</v>
      </c>
      <c r="M2" s="8" t="s">
        <v>89</v>
      </c>
    </row>
    <row r="3" customFormat="false" ht="15" hidden="false" customHeight="false" outlineLevel="1" collapsed="false">
      <c r="A3" s="9" t="s">
        <v>90</v>
      </c>
      <c r="B3" s="9" t="n">
        <v>2</v>
      </c>
      <c r="C3" s="9" t="s">
        <v>84</v>
      </c>
      <c r="D3" s="9" t="s">
        <v>91</v>
      </c>
      <c r="E3" s="9"/>
      <c r="F3" s="9"/>
      <c r="G3" s="9"/>
      <c r="H3" s="9"/>
      <c r="I3" s="9"/>
      <c r="J3" s="9" t="s">
        <v>92</v>
      </c>
      <c r="K3" s="9" t="s">
        <v>87</v>
      </c>
      <c r="L3" s="9"/>
      <c r="M3" s="9"/>
    </row>
    <row r="4" customFormat="false" ht="79.85" hidden="false" customHeight="false" outlineLevel="2" collapsed="false">
      <c r="A4" s="10" t="s">
        <v>93</v>
      </c>
      <c r="B4" s="10" t="n">
        <v>3</v>
      </c>
      <c r="C4" s="10" t="s">
        <v>84</v>
      </c>
      <c r="D4" s="10" t="s">
        <v>94</v>
      </c>
      <c r="E4" s="10"/>
      <c r="F4" s="11" t="n">
        <v>46188</v>
      </c>
      <c r="G4" s="11" t="n">
        <v>46195</v>
      </c>
      <c r="H4" s="10" t="n">
        <f aca="false">NETWORKDAYS(F4,G4)</f>
        <v>6</v>
      </c>
      <c r="I4" s="10" t="n">
        <v>1</v>
      </c>
      <c r="J4" s="10" t="s">
        <v>95</v>
      </c>
      <c r="K4" s="10" t="s">
        <v>96</v>
      </c>
      <c r="L4" s="10" t="s">
        <v>97</v>
      </c>
      <c r="M4" s="10" t="s">
        <v>98</v>
      </c>
    </row>
    <row r="5" customFormat="false" ht="35.05" hidden="false" customHeight="false" outlineLevel="2" collapsed="false">
      <c r="A5" s="10" t="s">
        <v>99</v>
      </c>
      <c r="B5" s="10" t="n">
        <v>3</v>
      </c>
      <c r="C5" s="10" t="s">
        <v>84</v>
      </c>
      <c r="D5" s="10" t="s">
        <v>100</v>
      </c>
      <c r="E5" s="10" t="s">
        <v>93</v>
      </c>
      <c r="F5" s="11" t="n">
        <v>46202</v>
      </c>
      <c r="G5" s="11" t="n">
        <v>46205</v>
      </c>
      <c r="H5" s="10" t="n">
        <f aca="false">NETWORKDAYS(F5,G5)</f>
        <v>4</v>
      </c>
      <c r="I5" s="10" t="n">
        <v>6</v>
      </c>
      <c r="J5" s="10" t="s">
        <v>86</v>
      </c>
      <c r="K5" s="10" t="s">
        <v>101</v>
      </c>
      <c r="L5" s="10" t="s">
        <v>97</v>
      </c>
      <c r="M5" s="10" t="s">
        <v>102</v>
      </c>
    </row>
    <row r="6" customFormat="false" ht="23.85" hidden="false" customHeight="false" outlineLevel="2" collapsed="false">
      <c r="A6" s="10" t="s">
        <v>103</v>
      </c>
      <c r="B6" s="10" t="n">
        <v>3</v>
      </c>
      <c r="C6" s="10" t="s">
        <v>84</v>
      </c>
      <c r="D6" s="10" t="s">
        <v>104</v>
      </c>
      <c r="E6" s="10"/>
      <c r="F6" s="11" t="n">
        <v>46195</v>
      </c>
      <c r="G6" s="11" t="n">
        <v>46199</v>
      </c>
      <c r="H6" s="10" t="n">
        <f aca="false">NETWORKDAYS(F6,G6)</f>
        <v>5</v>
      </c>
      <c r="I6" s="10" t="n">
        <v>2</v>
      </c>
      <c r="J6" s="10" t="s">
        <v>105</v>
      </c>
      <c r="K6" s="10" t="s">
        <v>106</v>
      </c>
      <c r="L6" s="10" t="s">
        <v>97</v>
      </c>
      <c r="M6" s="10" t="s">
        <v>107</v>
      </c>
    </row>
    <row r="7" customFormat="false" ht="23.85" hidden="false" customHeight="false" outlineLevel="2" collapsed="false">
      <c r="A7" s="10" t="s">
        <v>108</v>
      </c>
      <c r="B7" s="10" t="n">
        <v>3</v>
      </c>
      <c r="C7" s="10" t="s">
        <v>84</v>
      </c>
      <c r="D7" s="10" t="s">
        <v>109</v>
      </c>
      <c r="E7" s="10" t="s">
        <v>110</v>
      </c>
      <c r="F7" s="11" t="n">
        <v>46202</v>
      </c>
      <c r="G7" s="11" t="n">
        <v>46206</v>
      </c>
      <c r="H7" s="10" t="n">
        <f aca="false">NETWORKDAYS(F7,G7)</f>
        <v>5</v>
      </c>
      <c r="I7" s="10" t="n">
        <v>4</v>
      </c>
      <c r="J7" s="10" t="s">
        <v>86</v>
      </c>
      <c r="K7" s="10" t="s">
        <v>101</v>
      </c>
      <c r="L7" s="10" t="s">
        <v>97</v>
      </c>
      <c r="M7" s="10" t="s">
        <v>111</v>
      </c>
    </row>
    <row r="8" customFormat="false" ht="15" hidden="false" customHeight="false" outlineLevel="1" collapsed="false">
      <c r="A8" s="9" t="s">
        <v>112</v>
      </c>
      <c r="B8" s="9" t="n">
        <v>2</v>
      </c>
      <c r="C8" s="9" t="s">
        <v>84</v>
      </c>
      <c r="D8" s="9" t="s">
        <v>113</v>
      </c>
      <c r="E8" s="9" t="s">
        <v>108</v>
      </c>
      <c r="F8" s="9"/>
      <c r="G8" s="9"/>
      <c r="H8" s="9"/>
      <c r="I8" s="9"/>
      <c r="J8" s="9" t="s">
        <v>86</v>
      </c>
      <c r="K8" s="9" t="s">
        <v>106</v>
      </c>
      <c r="L8" s="9"/>
      <c r="M8" s="9" t="s">
        <v>114</v>
      </c>
    </row>
    <row r="9" customFormat="false" ht="23.85" hidden="false" customHeight="false" outlineLevel="2" collapsed="false">
      <c r="A9" s="10" t="s">
        <v>115</v>
      </c>
      <c r="B9" s="10" t="n">
        <v>3</v>
      </c>
      <c r="C9" s="10" t="s">
        <v>84</v>
      </c>
      <c r="D9" s="10" t="s">
        <v>116</v>
      </c>
      <c r="E9" s="10" t="s">
        <v>108</v>
      </c>
      <c r="F9" s="11" t="n">
        <v>46209</v>
      </c>
      <c r="G9" s="11" t="n">
        <v>46227</v>
      </c>
      <c r="H9" s="10" t="n">
        <f aca="false">NETWORKDAYS(F9,G9)</f>
        <v>15</v>
      </c>
      <c r="I9" s="10" t="n">
        <v>18</v>
      </c>
      <c r="J9" s="10" t="s">
        <v>86</v>
      </c>
      <c r="K9" s="10" t="s">
        <v>101</v>
      </c>
      <c r="L9" s="10" t="s">
        <v>97</v>
      </c>
      <c r="M9" s="10" t="s">
        <v>117</v>
      </c>
    </row>
    <row r="10" customFormat="false" ht="23.85" hidden="false" customHeight="false" outlineLevel="2" collapsed="false">
      <c r="A10" s="10" t="s">
        <v>118</v>
      </c>
      <c r="B10" s="10" t="n">
        <v>3</v>
      </c>
      <c r="C10" s="10" t="s">
        <v>84</v>
      </c>
      <c r="D10" s="10" t="s">
        <v>119</v>
      </c>
      <c r="E10" s="10" t="s">
        <v>115</v>
      </c>
      <c r="F10" s="11" t="n">
        <v>46230</v>
      </c>
      <c r="G10" s="11" t="n">
        <v>46241</v>
      </c>
      <c r="H10" s="10" t="n">
        <f aca="false">NETWORKDAYS(F10,G10)</f>
        <v>10</v>
      </c>
      <c r="I10" s="10" t="n">
        <v>12</v>
      </c>
      <c r="J10" s="10" t="s">
        <v>86</v>
      </c>
      <c r="K10" s="10" t="s">
        <v>101</v>
      </c>
      <c r="L10" s="10" t="s">
        <v>97</v>
      </c>
      <c r="M10" s="10" t="s">
        <v>120</v>
      </c>
    </row>
    <row r="11" customFormat="false" ht="23.85" hidden="false" customHeight="false" outlineLevel="2" collapsed="false">
      <c r="A11" s="10" t="s">
        <v>121</v>
      </c>
      <c r="B11" s="10" t="n">
        <v>3</v>
      </c>
      <c r="C11" s="10" t="s">
        <v>84</v>
      </c>
      <c r="D11" s="10" t="s">
        <v>122</v>
      </c>
      <c r="E11" s="10" t="s">
        <v>115</v>
      </c>
      <c r="F11" s="11" t="n">
        <v>46230</v>
      </c>
      <c r="G11" s="11" t="n">
        <v>46248</v>
      </c>
      <c r="H11" s="10" t="n">
        <f aca="false">NETWORKDAYS(F11,G11)</f>
        <v>15</v>
      </c>
      <c r="I11" s="10" t="n">
        <v>20</v>
      </c>
      <c r="J11" s="10" t="s">
        <v>86</v>
      </c>
      <c r="K11" s="10" t="s">
        <v>101</v>
      </c>
      <c r="L11" s="10" t="s">
        <v>88</v>
      </c>
      <c r="M11" s="10" t="s">
        <v>123</v>
      </c>
    </row>
    <row r="12" customFormat="false" ht="23.85" hidden="false" customHeight="false" outlineLevel="2" collapsed="false">
      <c r="A12" s="10" t="s">
        <v>124</v>
      </c>
      <c r="B12" s="10" t="n">
        <v>3</v>
      </c>
      <c r="C12" s="10" t="s">
        <v>84</v>
      </c>
      <c r="D12" s="10" t="s">
        <v>125</v>
      </c>
      <c r="E12" s="10" t="s">
        <v>118</v>
      </c>
      <c r="F12" s="11" t="n">
        <v>46237</v>
      </c>
      <c r="G12" s="11" t="n">
        <v>46248</v>
      </c>
      <c r="H12" s="10" t="n">
        <f aca="false">NETWORKDAYS(F12,G12)</f>
        <v>10</v>
      </c>
      <c r="I12" s="10" t="n">
        <v>10</v>
      </c>
      <c r="J12" s="10" t="s">
        <v>86</v>
      </c>
      <c r="K12" s="10" t="s">
        <v>101</v>
      </c>
      <c r="L12" s="10" t="s">
        <v>97</v>
      </c>
      <c r="M12" s="10" t="s">
        <v>126</v>
      </c>
    </row>
    <row r="13" customFormat="false" ht="23.85" hidden="false" customHeight="false" outlineLevel="2" collapsed="false">
      <c r="A13" s="10" t="s">
        <v>127</v>
      </c>
      <c r="B13" s="10" t="n">
        <v>3</v>
      </c>
      <c r="C13" s="10" t="s">
        <v>84</v>
      </c>
      <c r="D13" s="10" t="s">
        <v>128</v>
      </c>
      <c r="E13" s="10" t="s">
        <v>129</v>
      </c>
      <c r="F13" s="11" t="n">
        <v>46251</v>
      </c>
      <c r="G13" s="11" t="n">
        <v>46262</v>
      </c>
      <c r="H13" s="10" t="n">
        <f aca="false">NETWORKDAYS(F13,G13)</f>
        <v>10</v>
      </c>
      <c r="I13" s="10" t="n">
        <v>4</v>
      </c>
      <c r="J13" s="10" t="s">
        <v>130</v>
      </c>
      <c r="K13" s="10" t="s">
        <v>101</v>
      </c>
      <c r="L13" s="10" t="s">
        <v>97</v>
      </c>
      <c r="M13" s="10" t="s">
        <v>131</v>
      </c>
    </row>
    <row r="14" customFormat="false" ht="15" hidden="false" customHeight="false" outlineLevel="2" collapsed="false">
      <c r="A14" s="10" t="s">
        <v>132</v>
      </c>
      <c r="B14" s="10" t="n">
        <v>3</v>
      </c>
      <c r="C14" s="10" t="s">
        <v>84</v>
      </c>
      <c r="D14" s="10" t="s">
        <v>133</v>
      </c>
      <c r="E14" s="10" t="s">
        <v>127</v>
      </c>
      <c r="F14" s="11" t="n">
        <v>46265</v>
      </c>
      <c r="G14" s="11" t="n">
        <v>46269</v>
      </c>
      <c r="H14" s="10" t="n">
        <f aca="false">NETWORKDAYS(F14,G14)</f>
        <v>5</v>
      </c>
      <c r="I14" s="10" t="n">
        <v>6</v>
      </c>
      <c r="J14" s="10" t="s">
        <v>86</v>
      </c>
      <c r="K14" s="10" t="s">
        <v>101</v>
      </c>
      <c r="L14" s="10" t="s">
        <v>97</v>
      </c>
      <c r="M14" s="10"/>
    </row>
    <row r="15" customFormat="false" ht="15" hidden="false" customHeight="false" outlineLevel="1" collapsed="false">
      <c r="A15" s="9" t="s">
        <v>134</v>
      </c>
      <c r="B15" s="9" t="n">
        <v>2</v>
      </c>
      <c r="C15" s="9" t="s">
        <v>84</v>
      </c>
      <c r="D15" s="9" t="s">
        <v>135</v>
      </c>
      <c r="E15" s="9" t="s">
        <v>108</v>
      </c>
      <c r="F15" s="9"/>
      <c r="G15" s="9"/>
      <c r="H15" s="9"/>
      <c r="I15" s="9"/>
      <c r="J15" s="9" t="s">
        <v>86</v>
      </c>
      <c r="K15" s="9" t="s">
        <v>106</v>
      </c>
      <c r="L15" s="9"/>
      <c r="M15" s="9" t="s">
        <v>136</v>
      </c>
    </row>
    <row r="16" customFormat="false" ht="15" hidden="false" customHeight="false" outlineLevel="2" collapsed="false">
      <c r="A16" s="10" t="s">
        <v>137</v>
      </c>
      <c r="B16" s="10" t="n">
        <v>3</v>
      </c>
      <c r="C16" s="10" t="s">
        <v>84</v>
      </c>
      <c r="D16" s="10" t="s">
        <v>138</v>
      </c>
      <c r="E16" s="10" t="s">
        <v>115</v>
      </c>
      <c r="F16" s="11" t="n">
        <v>46223</v>
      </c>
      <c r="G16" s="11" t="n">
        <v>46241</v>
      </c>
      <c r="H16" s="10" t="n">
        <f aca="false">NETWORKDAYS(F16,G16)</f>
        <v>15</v>
      </c>
      <c r="I16" s="10" t="n">
        <v>14</v>
      </c>
      <c r="J16" s="10" t="s">
        <v>86</v>
      </c>
      <c r="K16" s="10" t="s">
        <v>101</v>
      </c>
      <c r="L16" s="10" t="s">
        <v>97</v>
      </c>
      <c r="M16" s="10" t="s">
        <v>139</v>
      </c>
    </row>
    <row r="17" customFormat="false" ht="15" hidden="false" customHeight="false" outlineLevel="2" collapsed="false">
      <c r="A17" s="10" t="s">
        <v>140</v>
      </c>
      <c r="B17" s="10" t="n">
        <v>3</v>
      </c>
      <c r="C17" s="10" t="s">
        <v>84</v>
      </c>
      <c r="D17" s="10" t="s">
        <v>141</v>
      </c>
      <c r="E17" s="10" t="s">
        <v>137</v>
      </c>
      <c r="F17" s="11" t="n">
        <v>46244</v>
      </c>
      <c r="G17" s="11" t="n">
        <v>46255</v>
      </c>
      <c r="H17" s="10" t="n">
        <f aca="false">NETWORKDAYS(F17,G17)</f>
        <v>10</v>
      </c>
      <c r="I17" s="10" t="n">
        <v>10</v>
      </c>
      <c r="J17" s="10" t="s">
        <v>86</v>
      </c>
      <c r="K17" s="10" t="s">
        <v>101</v>
      </c>
      <c r="L17" s="10" t="s">
        <v>97</v>
      </c>
      <c r="M17" s="10"/>
    </row>
    <row r="18" customFormat="false" ht="15" hidden="false" customHeight="false" outlineLevel="2" collapsed="false">
      <c r="A18" s="10" t="s">
        <v>142</v>
      </c>
      <c r="B18" s="10" t="n">
        <v>3</v>
      </c>
      <c r="C18" s="10" t="s">
        <v>84</v>
      </c>
      <c r="D18" s="10" t="s">
        <v>143</v>
      </c>
      <c r="E18" s="10" t="s">
        <v>137</v>
      </c>
      <c r="F18" s="11" t="n">
        <v>46244</v>
      </c>
      <c r="G18" s="11" t="n">
        <v>46262</v>
      </c>
      <c r="H18" s="10" t="n">
        <f aca="false">NETWORKDAYS(F18,G18)</f>
        <v>15</v>
      </c>
      <c r="I18" s="10" t="n">
        <v>16</v>
      </c>
      <c r="J18" s="10" t="s">
        <v>86</v>
      </c>
      <c r="K18" s="10" t="s">
        <v>101</v>
      </c>
      <c r="L18" s="10" t="s">
        <v>88</v>
      </c>
      <c r="M18" s="10"/>
    </row>
    <row r="19" customFormat="false" ht="15" hidden="false" customHeight="false" outlineLevel="2" collapsed="false">
      <c r="A19" s="10" t="s">
        <v>144</v>
      </c>
      <c r="B19" s="10" t="n">
        <v>3</v>
      </c>
      <c r="C19" s="10" t="s">
        <v>84</v>
      </c>
      <c r="D19" s="10" t="s">
        <v>145</v>
      </c>
      <c r="E19" s="10" t="s">
        <v>140</v>
      </c>
      <c r="F19" s="11" t="n">
        <v>46251</v>
      </c>
      <c r="G19" s="11" t="n">
        <v>46262</v>
      </c>
      <c r="H19" s="10" t="n">
        <f aca="false">NETWORKDAYS(F19,G19)</f>
        <v>10</v>
      </c>
      <c r="I19" s="10" t="n">
        <v>8</v>
      </c>
      <c r="J19" s="10" t="s">
        <v>86</v>
      </c>
      <c r="K19" s="10" t="s">
        <v>101</v>
      </c>
      <c r="L19" s="10" t="s">
        <v>97</v>
      </c>
      <c r="M19" s="10"/>
    </row>
    <row r="20" customFormat="false" ht="15" hidden="false" customHeight="false" outlineLevel="2" collapsed="false">
      <c r="A20" s="10" t="s">
        <v>146</v>
      </c>
      <c r="B20" s="10" t="n">
        <v>3</v>
      </c>
      <c r="C20" s="10" t="s">
        <v>84</v>
      </c>
      <c r="D20" s="10" t="s">
        <v>147</v>
      </c>
      <c r="E20" s="10" t="s">
        <v>148</v>
      </c>
      <c r="F20" s="11" t="n">
        <v>46265</v>
      </c>
      <c r="G20" s="11" t="n">
        <v>46276</v>
      </c>
      <c r="H20" s="10" t="n">
        <f aca="false">NETWORKDAYS(F20,G20)</f>
        <v>10</v>
      </c>
      <c r="I20" s="10" t="n">
        <v>4</v>
      </c>
      <c r="J20" s="10" t="s">
        <v>130</v>
      </c>
      <c r="K20" s="10" t="s">
        <v>101</v>
      </c>
      <c r="L20" s="10" t="s">
        <v>97</v>
      </c>
      <c r="M20" s="10"/>
    </row>
    <row r="21" customFormat="false" ht="15" hidden="false" customHeight="false" outlineLevel="2" collapsed="false">
      <c r="A21" s="10" t="s">
        <v>149</v>
      </c>
      <c r="B21" s="10" t="n">
        <v>3</v>
      </c>
      <c r="C21" s="10" t="s">
        <v>84</v>
      </c>
      <c r="D21" s="10" t="s">
        <v>150</v>
      </c>
      <c r="E21" s="10" t="s">
        <v>146</v>
      </c>
      <c r="F21" s="11" t="n">
        <v>46273</v>
      </c>
      <c r="G21" s="11" t="n">
        <v>46276</v>
      </c>
      <c r="H21" s="10" t="n">
        <f aca="false">NETWORKDAYS(F21,G21)</f>
        <v>4</v>
      </c>
      <c r="I21" s="10" t="n">
        <v>4</v>
      </c>
      <c r="J21" s="10" t="s">
        <v>86</v>
      </c>
      <c r="K21" s="10" t="s">
        <v>101</v>
      </c>
      <c r="L21" s="10" t="s">
        <v>97</v>
      </c>
      <c r="M21" s="10"/>
    </row>
    <row r="22" customFormat="false" ht="35.05" hidden="false" customHeight="false" outlineLevel="1" collapsed="false">
      <c r="A22" s="9" t="s">
        <v>151</v>
      </c>
      <c r="B22" s="9" t="n">
        <v>2</v>
      </c>
      <c r="C22" s="9" t="s">
        <v>84</v>
      </c>
      <c r="D22" s="9" t="s">
        <v>152</v>
      </c>
      <c r="E22" s="9" t="s">
        <v>115</v>
      </c>
      <c r="F22" s="9"/>
      <c r="G22" s="9"/>
      <c r="H22" s="9"/>
      <c r="I22" s="9"/>
      <c r="J22" s="9" t="s">
        <v>86</v>
      </c>
      <c r="K22" s="9" t="s">
        <v>106</v>
      </c>
      <c r="L22" s="9"/>
      <c r="M22" s="9" t="s">
        <v>153</v>
      </c>
    </row>
    <row r="23" customFormat="false" ht="23.85" hidden="false" customHeight="false" outlineLevel="2" collapsed="false">
      <c r="A23" s="10" t="s">
        <v>154</v>
      </c>
      <c r="B23" s="10" t="n">
        <v>3</v>
      </c>
      <c r="C23" s="10" t="s">
        <v>84</v>
      </c>
      <c r="D23" s="10" t="s">
        <v>155</v>
      </c>
      <c r="E23" s="10" t="s">
        <v>115</v>
      </c>
      <c r="F23" s="11" t="n">
        <v>46230</v>
      </c>
      <c r="G23" s="11" t="n">
        <v>46241</v>
      </c>
      <c r="H23" s="10" t="n">
        <f aca="false">NETWORKDAYS(F23,G23)</f>
        <v>10</v>
      </c>
      <c r="I23" s="10" t="n">
        <v>8</v>
      </c>
      <c r="J23" s="10" t="s">
        <v>86</v>
      </c>
      <c r="K23" s="10" t="s">
        <v>101</v>
      </c>
      <c r="L23" s="10" t="s">
        <v>88</v>
      </c>
      <c r="M23" s="10"/>
    </row>
    <row r="24" customFormat="false" ht="15" hidden="false" customHeight="false" outlineLevel="2" collapsed="false">
      <c r="A24" s="10" t="s">
        <v>156</v>
      </c>
      <c r="B24" s="10" t="n">
        <v>3</v>
      </c>
      <c r="C24" s="10" t="s">
        <v>84</v>
      </c>
      <c r="D24" s="10" t="s">
        <v>157</v>
      </c>
      <c r="E24" s="10" t="s">
        <v>154</v>
      </c>
      <c r="F24" s="11" t="n">
        <v>46244</v>
      </c>
      <c r="G24" s="11" t="n">
        <v>46255</v>
      </c>
      <c r="H24" s="10" t="n">
        <f aca="false">NETWORKDAYS(F24,G24)</f>
        <v>10</v>
      </c>
      <c r="I24" s="10" t="n">
        <v>8</v>
      </c>
      <c r="J24" s="10" t="s">
        <v>86</v>
      </c>
      <c r="K24" s="10" t="s">
        <v>101</v>
      </c>
      <c r="L24" s="10" t="s">
        <v>158</v>
      </c>
      <c r="M24" s="10"/>
    </row>
    <row r="25" customFormat="false" ht="15" hidden="false" customHeight="false" outlineLevel="2" collapsed="false">
      <c r="A25" s="10" t="s">
        <v>159</v>
      </c>
      <c r="B25" s="10" t="n">
        <v>3</v>
      </c>
      <c r="C25" s="10" t="s">
        <v>84</v>
      </c>
      <c r="D25" s="10" t="s">
        <v>160</v>
      </c>
      <c r="E25" s="10" t="s">
        <v>161</v>
      </c>
      <c r="F25" s="11" t="n">
        <v>46258</v>
      </c>
      <c r="G25" s="11" t="n">
        <v>46269</v>
      </c>
      <c r="H25" s="10" t="n">
        <f aca="false">NETWORKDAYS(F25,G25)</f>
        <v>10</v>
      </c>
      <c r="I25" s="10" t="n">
        <v>6</v>
      </c>
      <c r="J25" s="10" t="s">
        <v>86</v>
      </c>
      <c r="K25" s="10" t="s">
        <v>101</v>
      </c>
      <c r="L25" s="10" t="s">
        <v>158</v>
      </c>
      <c r="M25" s="10"/>
    </row>
    <row r="26" customFormat="false" ht="23.85" hidden="false" customHeight="false" outlineLevel="1" collapsed="false">
      <c r="A26" s="9" t="s">
        <v>162</v>
      </c>
      <c r="B26" s="9" t="n">
        <v>2</v>
      </c>
      <c r="C26" s="9" t="s">
        <v>84</v>
      </c>
      <c r="D26" s="9" t="s">
        <v>163</v>
      </c>
      <c r="E26" s="9" t="s">
        <v>164</v>
      </c>
      <c r="F26" s="9"/>
      <c r="G26" s="9"/>
      <c r="H26" s="9"/>
      <c r="I26" s="9"/>
      <c r="J26" s="9" t="s">
        <v>86</v>
      </c>
      <c r="K26" s="9" t="s">
        <v>106</v>
      </c>
      <c r="L26" s="9"/>
      <c r="M26" s="9" t="s">
        <v>165</v>
      </c>
    </row>
    <row r="27" customFormat="false" ht="15" hidden="false" customHeight="false" outlineLevel="2" collapsed="false">
      <c r="A27" s="10" t="s">
        <v>166</v>
      </c>
      <c r="B27" s="10" t="n">
        <v>3</v>
      </c>
      <c r="C27" s="10" t="s">
        <v>84</v>
      </c>
      <c r="D27" s="10" t="s">
        <v>167</v>
      </c>
      <c r="E27" s="10" t="s">
        <v>164</v>
      </c>
      <c r="F27" s="11" t="n">
        <v>46273</v>
      </c>
      <c r="G27" s="11" t="n">
        <v>46276</v>
      </c>
      <c r="H27" s="10" t="n">
        <f aca="false">NETWORKDAYS(F27,G27)</f>
        <v>4</v>
      </c>
      <c r="I27" s="10" t="n">
        <v>8</v>
      </c>
      <c r="J27" s="10" t="s">
        <v>86</v>
      </c>
      <c r="K27" s="10" t="s">
        <v>101</v>
      </c>
      <c r="L27" s="10" t="s">
        <v>168</v>
      </c>
      <c r="M27" s="10"/>
    </row>
    <row r="28" customFormat="false" ht="23.85" hidden="false" customHeight="false" outlineLevel="2" collapsed="false">
      <c r="A28" s="10" t="s">
        <v>169</v>
      </c>
      <c r="B28" s="10" t="n">
        <v>3</v>
      </c>
      <c r="C28" s="10" t="s">
        <v>84</v>
      </c>
      <c r="D28" s="10" t="s">
        <v>170</v>
      </c>
      <c r="E28" s="10" t="s">
        <v>166</v>
      </c>
      <c r="F28" s="11" t="n">
        <v>46279</v>
      </c>
      <c r="G28" s="11" t="n">
        <v>46283</v>
      </c>
      <c r="H28" s="10" t="n">
        <f aca="false">NETWORKDAYS(F28,G28)</f>
        <v>5</v>
      </c>
      <c r="I28" s="10" t="n">
        <v>30</v>
      </c>
      <c r="J28" s="10" t="s">
        <v>86</v>
      </c>
      <c r="K28" s="10" t="s">
        <v>101</v>
      </c>
      <c r="L28" s="10" t="s">
        <v>168</v>
      </c>
      <c r="M28" s="10" t="s">
        <v>171</v>
      </c>
    </row>
    <row r="29" customFormat="false" ht="15" hidden="false" customHeight="false" outlineLevel="2" collapsed="false">
      <c r="A29" s="10" t="s">
        <v>172</v>
      </c>
      <c r="B29" s="10" t="n">
        <v>3</v>
      </c>
      <c r="C29" s="10" t="s">
        <v>84</v>
      </c>
      <c r="D29" s="10" t="s">
        <v>173</v>
      </c>
      <c r="E29" s="10" t="s">
        <v>169</v>
      </c>
      <c r="F29" s="11" t="n">
        <v>46286</v>
      </c>
      <c r="G29" s="11" t="n">
        <v>46290</v>
      </c>
      <c r="H29" s="10" t="n">
        <f aca="false">NETWORKDAYS(F29,G29)</f>
        <v>5</v>
      </c>
      <c r="I29" s="10" t="n">
        <v>6</v>
      </c>
      <c r="J29" s="10" t="s">
        <v>86</v>
      </c>
      <c r="K29" s="10" t="s">
        <v>101</v>
      </c>
      <c r="L29" s="10" t="s">
        <v>97</v>
      </c>
      <c r="M29" s="10"/>
    </row>
    <row r="30" customFormat="false" ht="15" hidden="false" customHeight="false" outlineLevel="1" collapsed="false">
      <c r="A30" s="9" t="s">
        <v>174</v>
      </c>
      <c r="B30" s="9" t="n">
        <v>2</v>
      </c>
      <c r="C30" s="9" t="s">
        <v>84</v>
      </c>
      <c r="D30" s="9" t="s">
        <v>175</v>
      </c>
      <c r="E30" s="9" t="s">
        <v>172</v>
      </c>
      <c r="F30" s="9"/>
      <c r="G30" s="9"/>
      <c r="H30" s="9"/>
      <c r="I30" s="9"/>
      <c r="J30" s="9" t="s">
        <v>105</v>
      </c>
      <c r="K30" s="9" t="s">
        <v>106</v>
      </c>
      <c r="L30" s="9"/>
      <c r="M30" s="9" t="s">
        <v>176</v>
      </c>
    </row>
    <row r="31" customFormat="false" ht="15" hidden="false" customHeight="false" outlineLevel="2" collapsed="false">
      <c r="A31" s="10" t="s">
        <v>177</v>
      </c>
      <c r="B31" s="10" t="n">
        <v>3</v>
      </c>
      <c r="C31" s="10" t="s">
        <v>84</v>
      </c>
      <c r="D31" s="10" t="s">
        <v>178</v>
      </c>
      <c r="E31" s="10" t="s">
        <v>172</v>
      </c>
      <c r="F31" s="11" t="n">
        <v>46293</v>
      </c>
      <c r="G31" s="11" t="n">
        <v>46339</v>
      </c>
      <c r="H31" s="10" t="n">
        <f aca="false">NETWORKDAYS(F31,G31)</f>
        <v>35</v>
      </c>
      <c r="I31" s="10" t="n">
        <v>60</v>
      </c>
      <c r="J31" s="10" t="s">
        <v>86</v>
      </c>
      <c r="K31" s="10" t="s">
        <v>101</v>
      </c>
      <c r="L31" s="10" t="s">
        <v>97</v>
      </c>
      <c r="M31" s="10"/>
    </row>
    <row r="32" customFormat="false" ht="15" hidden="false" customHeight="false" outlineLevel="2" collapsed="false">
      <c r="A32" s="10" t="s">
        <v>179</v>
      </c>
      <c r="B32" s="10" t="n">
        <v>3</v>
      </c>
      <c r="C32" s="10" t="s">
        <v>84</v>
      </c>
      <c r="D32" s="10" t="s">
        <v>180</v>
      </c>
      <c r="E32" s="10" t="s">
        <v>177</v>
      </c>
      <c r="F32" s="11" t="n">
        <v>46342</v>
      </c>
      <c r="G32" s="11" t="n">
        <v>46353</v>
      </c>
      <c r="H32" s="10" t="n">
        <f aca="false">NETWORKDAYS(F32,G32)</f>
        <v>10</v>
      </c>
      <c r="I32" s="10" t="n">
        <v>6</v>
      </c>
      <c r="J32" s="10" t="s">
        <v>130</v>
      </c>
      <c r="K32" s="10" t="s">
        <v>101</v>
      </c>
      <c r="L32" s="10" t="s">
        <v>97</v>
      </c>
      <c r="M32" s="10"/>
    </row>
    <row r="33" customFormat="false" ht="23.85" hidden="false" customHeight="false" outlineLevel="2" collapsed="false">
      <c r="A33" s="10" t="s">
        <v>181</v>
      </c>
      <c r="B33" s="10" t="n">
        <v>3</v>
      </c>
      <c r="C33" s="10" t="s">
        <v>84</v>
      </c>
      <c r="D33" s="10" t="s">
        <v>182</v>
      </c>
      <c r="E33" s="10" t="s">
        <v>179</v>
      </c>
      <c r="F33" s="11" t="n">
        <v>46356</v>
      </c>
      <c r="G33" s="11" t="n">
        <v>46367</v>
      </c>
      <c r="H33" s="10" t="n">
        <f aca="false">NETWORKDAYS(F33,G33)</f>
        <v>10</v>
      </c>
      <c r="I33" s="10" t="n">
        <v>0</v>
      </c>
      <c r="J33" s="10" t="s">
        <v>183</v>
      </c>
      <c r="K33" s="10" t="s">
        <v>101</v>
      </c>
      <c r="L33" s="10" t="s">
        <v>88</v>
      </c>
      <c r="M33" s="10" t="s">
        <v>184</v>
      </c>
    </row>
    <row r="34" customFormat="false" ht="15" hidden="false" customHeight="false" outlineLevel="2" collapsed="false">
      <c r="A34" s="10" t="s">
        <v>185</v>
      </c>
      <c r="B34" s="10" t="n">
        <v>3</v>
      </c>
      <c r="C34" s="10" t="s">
        <v>84</v>
      </c>
      <c r="D34" s="10" t="s">
        <v>186</v>
      </c>
      <c r="E34" s="10" t="s">
        <v>181</v>
      </c>
      <c r="F34" s="11" t="n">
        <v>46356</v>
      </c>
      <c r="G34" s="11" t="n">
        <v>46367</v>
      </c>
      <c r="H34" s="10" t="n">
        <f aca="false">NETWORKDAYS(F34,G34)</f>
        <v>10</v>
      </c>
      <c r="I34" s="10" t="n">
        <v>8</v>
      </c>
      <c r="J34" s="10" t="s">
        <v>86</v>
      </c>
      <c r="K34" s="10" t="s">
        <v>101</v>
      </c>
      <c r="L34" s="10" t="s">
        <v>158</v>
      </c>
      <c r="M34" s="10" t="s">
        <v>187</v>
      </c>
    </row>
    <row r="35" customFormat="false" ht="23.85" hidden="false" customHeight="false" outlineLevel="2" collapsed="false">
      <c r="A35" s="10" t="s">
        <v>188</v>
      </c>
      <c r="B35" s="10" t="n">
        <v>3</v>
      </c>
      <c r="C35" s="10" t="s">
        <v>84</v>
      </c>
      <c r="D35" s="10" t="s">
        <v>189</v>
      </c>
      <c r="E35" s="10" t="s">
        <v>185</v>
      </c>
      <c r="F35" s="11" t="n">
        <v>46370</v>
      </c>
      <c r="G35" s="11" t="n">
        <v>46374</v>
      </c>
      <c r="H35" s="10" t="n">
        <f aca="false">NETWORKDAYS(F35,G35)</f>
        <v>5</v>
      </c>
      <c r="I35" s="10" t="n">
        <v>4</v>
      </c>
      <c r="J35" s="10" t="s">
        <v>105</v>
      </c>
      <c r="K35" s="10" t="s">
        <v>101</v>
      </c>
      <c r="L35" s="10" t="s">
        <v>97</v>
      </c>
      <c r="M35" s="10" t="s">
        <v>190</v>
      </c>
    </row>
    <row r="36" customFormat="false" ht="35.05" hidden="false" customHeight="false" outlineLevel="1" collapsed="false">
      <c r="A36" s="9" t="s">
        <v>191</v>
      </c>
      <c r="B36" s="9" t="n">
        <v>2</v>
      </c>
      <c r="C36" s="9" t="s">
        <v>84</v>
      </c>
      <c r="D36" s="9" t="s">
        <v>192</v>
      </c>
      <c r="E36" s="9"/>
      <c r="F36" s="9"/>
      <c r="G36" s="9"/>
      <c r="H36" s="9"/>
      <c r="I36" s="9"/>
      <c r="J36" s="9" t="s">
        <v>105</v>
      </c>
      <c r="K36" s="9" t="s">
        <v>106</v>
      </c>
      <c r="L36" s="9"/>
      <c r="M36" s="9" t="s">
        <v>193</v>
      </c>
    </row>
    <row r="37" customFormat="false" ht="23.85" hidden="false" customHeight="false" outlineLevel="2" collapsed="false">
      <c r="A37" s="10" t="s">
        <v>194</v>
      </c>
      <c r="B37" s="10" t="n">
        <v>3</v>
      </c>
      <c r="C37" s="10" t="s">
        <v>84</v>
      </c>
      <c r="D37" s="10" t="s">
        <v>195</v>
      </c>
      <c r="E37" s="10"/>
      <c r="F37" s="11" t="n">
        <v>46195</v>
      </c>
      <c r="G37" s="11" t="n">
        <v>46206</v>
      </c>
      <c r="H37" s="10" t="n">
        <f aca="false">NETWORKDAYS(F37,G37)</f>
        <v>10</v>
      </c>
      <c r="I37" s="10" t="n">
        <v>4</v>
      </c>
      <c r="J37" s="10" t="s">
        <v>86</v>
      </c>
      <c r="K37" s="10" t="s">
        <v>106</v>
      </c>
      <c r="L37" s="10" t="s">
        <v>158</v>
      </c>
      <c r="M37" s="10" t="s">
        <v>196</v>
      </c>
    </row>
    <row r="38" customFormat="false" ht="23.85" hidden="false" customHeight="false" outlineLevel="2" collapsed="false">
      <c r="A38" s="10" t="s">
        <v>197</v>
      </c>
      <c r="B38" s="10" t="n">
        <v>3</v>
      </c>
      <c r="C38" s="10" t="s">
        <v>84</v>
      </c>
      <c r="D38" s="10" t="s">
        <v>198</v>
      </c>
      <c r="E38" s="10" t="s">
        <v>199</v>
      </c>
      <c r="F38" s="11" t="n">
        <v>46209</v>
      </c>
      <c r="G38" s="11" t="n">
        <v>46227</v>
      </c>
      <c r="H38" s="10" t="n">
        <f aca="false">NETWORKDAYS(F38,G38)</f>
        <v>15</v>
      </c>
      <c r="I38" s="10" t="n">
        <v>10</v>
      </c>
      <c r="J38" s="10" t="s">
        <v>105</v>
      </c>
      <c r="K38" s="10" t="s">
        <v>106</v>
      </c>
      <c r="L38" s="10" t="s">
        <v>158</v>
      </c>
      <c r="M38" s="10" t="s">
        <v>200</v>
      </c>
    </row>
    <row r="39" customFormat="false" ht="23.85" hidden="false" customHeight="false" outlineLevel="2" collapsed="false">
      <c r="A39" s="10" t="s">
        <v>201</v>
      </c>
      <c r="B39" s="10" t="n">
        <v>3</v>
      </c>
      <c r="C39" s="10" t="s">
        <v>84</v>
      </c>
      <c r="D39" s="10" t="s">
        <v>202</v>
      </c>
      <c r="E39" s="10" t="s">
        <v>203</v>
      </c>
      <c r="F39" s="11" t="n">
        <v>46251</v>
      </c>
      <c r="G39" s="11" t="n">
        <v>46255</v>
      </c>
      <c r="H39" s="10" t="n">
        <f aca="false">NETWORKDAYS(F39,G39)</f>
        <v>5</v>
      </c>
      <c r="I39" s="10" t="n">
        <v>4</v>
      </c>
      <c r="J39" s="10" t="s">
        <v>86</v>
      </c>
      <c r="K39" s="10" t="s">
        <v>106</v>
      </c>
      <c r="L39" s="10" t="s">
        <v>158</v>
      </c>
      <c r="M39" s="10" t="s">
        <v>204</v>
      </c>
    </row>
    <row r="40" customFormat="false" ht="23.85" hidden="false" customHeight="false" outlineLevel="2" collapsed="false">
      <c r="A40" s="10" t="s">
        <v>205</v>
      </c>
      <c r="B40" s="10" t="n">
        <v>3</v>
      </c>
      <c r="C40" s="10" t="s">
        <v>84</v>
      </c>
      <c r="D40" s="10" t="s">
        <v>206</v>
      </c>
      <c r="E40" s="10" t="s">
        <v>201</v>
      </c>
      <c r="F40" s="11" t="n">
        <v>46293</v>
      </c>
      <c r="G40" s="11" t="n">
        <v>46387</v>
      </c>
      <c r="H40" s="10" t="n">
        <f aca="false">NETWORKDAYS(F40,G40)</f>
        <v>69</v>
      </c>
      <c r="I40" s="10" t="n">
        <v>12</v>
      </c>
      <c r="J40" s="10" t="s">
        <v>86</v>
      </c>
      <c r="K40" s="10" t="s">
        <v>106</v>
      </c>
      <c r="L40" s="10" t="s">
        <v>158</v>
      </c>
      <c r="M40" s="10" t="s">
        <v>207</v>
      </c>
    </row>
    <row r="41" customFormat="false" ht="39.55" hidden="false" customHeight="false" outlineLevel="0" collapsed="false">
      <c r="A41" s="12" t="s">
        <v>208</v>
      </c>
      <c r="B41" s="12" t="n">
        <v>1</v>
      </c>
      <c r="C41" s="12" t="s">
        <v>209</v>
      </c>
      <c r="D41" s="12" t="s">
        <v>210</v>
      </c>
      <c r="E41" s="12"/>
      <c r="F41" s="12"/>
      <c r="G41" s="12"/>
      <c r="H41" s="12"/>
      <c r="I41" s="12"/>
      <c r="J41" s="12" t="s">
        <v>86</v>
      </c>
      <c r="K41" s="12" t="s">
        <v>87</v>
      </c>
      <c r="L41" s="12" t="s">
        <v>211</v>
      </c>
      <c r="M41" s="12" t="s">
        <v>212</v>
      </c>
    </row>
    <row r="42" customFormat="false" ht="23.85" hidden="false" customHeight="false" outlineLevel="1" collapsed="false">
      <c r="A42" s="13" t="s">
        <v>213</v>
      </c>
      <c r="B42" s="13" t="n">
        <v>2</v>
      </c>
      <c r="C42" s="13" t="s">
        <v>209</v>
      </c>
      <c r="D42" s="13" t="s">
        <v>214</v>
      </c>
      <c r="E42" s="13"/>
      <c r="F42" s="13"/>
      <c r="G42" s="13"/>
      <c r="H42" s="13"/>
      <c r="I42" s="13"/>
      <c r="J42" s="13" t="s">
        <v>215</v>
      </c>
      <c r="K42" s="13" t="s">
        <v>87</v>
      </c>
      <c r="L42" s="13"/>
      <c r="M42" s="13" t="s">
        <v>216</v>
      </c>
    </row>
    <row r="43" customFormat="false" ht="23.85" hidden="false" customHeight="false" outlineLevel="2" collapsed="false">
      <c r="A43" s="14" t="s">
        <v>217</v>
      </c>
      <c r="B43" s="14" t="n">
        <v>3</v>
      </c>
      <c r="C43" s="14" t="s">
        <v>209</v>
      </c>
      <c r="D43" s="14" t="s">
        <v>218</v>
      </c>
      <c r="E43" s="14"/>
      <c r="F43" s="15" t="n">
        <v>46189</v>
      </c>
      <c r="G43" s="15" t="n">
        <v>46206</v>
      </c>
      <c r="H43" s="14" t="n">
        <f aca="false">NETWORKDAYS(F43,G43)</f>
        <v>14</v>
      </c>
      <c r="I43" s="14" t="n">
        <v>2</v>
      </c>
      <c r="J43" s="14" t="s">
        <v>219</v>
      </c>
      <c r="K43" s="14" t="s">
        <v>220</v>
      </c>
      <c r="L43" s="14" t="s">
        <v>211</v>
      </c>
      <c r="M43" s="14" t="s">
        <v>221</v>
      </c>
    </row>
    <row r="44" customFormat="false" ht="15" hidden="false" customHeight="false" outlineLevel="2" collapsed="false">
      <c r="A44" s="14" t="s">
        <v>222</v>
      </c>
      <c r="B44" s="14" t="n">
        <v>3</v>
      </c>
      <c r="C44" s="14" t="s">
        <v>209</v>
      </c>
      <c r="D44" s="14" t="s">
        <v>223</v>
      </c>
      <c r="E44" s="14" t="s">
        <v>217</v>
      </c>
      <c r="F44" s="15" t="n">
        <v>46209</v>
      </c>
      <c r="G44" s="15" t="n">
        <v>46220</v>
      </c>
      <c r="H44" s="14" t="n">
        <f aca="false">NETWORKDAYS(F44,G44)</f>
        <v>10</v>
      </c>
      <c r="I44" s="14" t="n">
        <v>12</v>
      </c>
      <c r="J44" s="14" t="s">
        <v>86</v>
      </c>
      <c r="K44" s="14" t="s">
        <v>106</v>
      </c>
      <c r="L44" s="14" t="s">
        <v>211</v>
      </c>
      <c r="M44" s="14"/>
    </row>
    <row r="45" customFormat="false" ht="23.85" hidden="false" customHeight="false" outlineLevel="2" collapsed="false">
      <c r="A45" s="14" t="s">
        <v>224</v>
      </c>
      <c r="B45" s="14" t="n">
        <v>3</v>
      </c>
      <c r="C45" s="14" t="s">
        <v>209</v>
      </c>
      <c r="D45" s="14" t="s">
        <v>225</v>
      </c>
      <c r="E45" s="14" t="s">
        <v>222</v>
      </c>
      <c r="F45" s="15" t="n">
        <v>46223</v>
      </c>
      <c r="G45" s="15" t="n">
        <v>46234</v>
      </c>
      <c r="H45" s="14" t="n">
        <f aca="false">NETWORKDAYS(F45,G45)</f>
        <v>10</v>
      </c>
      <c r="I45" s="14" t="n">
        <v>8</v>
      </c>
      <c r="J45" s="14" t="s">
        <v>226</v>
      </c>
      <c r="K45" s="14" t="s">
        <v>106</v>
      </c>
      <c r="L45" s="14" t="s">
        <v>211</v>
      </c>
      <c r="M45" s="14" t="s">
        <v>227</v>
      </c>
    </row>
    <row r="46" customFormat="false" ht="15" hidden="false" customHeight="false" outlineLevel="1" collapsed="false">
      <c r="A46" s="13" t="s">
        <v>228</v>
      </c>
      <c r="B46" s="13" t="n">
        <v>2</v>
      </c>
      <c r="C46" s="13" t="s">
        <v>209</v>
      </c>
      <c r="D46" s="13" t="s">
        <v>229</v>
      </c>
      <c r="E46" s="13" t="s">
        <v>224</v>
      </c>
      <c r="F46" s="13"/>
      <c r="G46" s="13"/>
      <c r="H46" s="13"/>
      <c r="I46" s="13"/>
      <c r="J46" s="13" t="s">
        <v>230</v>
      </c>
      <c r="K46" s="13" t="s">
        <v>106</v>
      </c>
      <c r="L46" s="13"/>
      <c r="M46" s="13" t="s">
        <v>231</v>
      </c>
    </row>
    <row r="47" customFormat="false" ht="15" hidden="false" customHeight="false" outlineLevel="2" collapsed="false">
      <c r="A47" s="14" t="s">
        <v>232</v>
      </c>
      <c r="B47" s="14" t="n">
        <v>3</v>
      </c>
      <c r="C47" s="14" t="s">
        <v>209</v>
      </c>
      <c r="D47" s="14" t="s">
        <v>233</v>
      </c>
      <c r="E47" s="14" t="s">
        <v>224</v>
      </c>
      <c r="F47" s="15" t="n">
        <v>46230</v>
      </c>
      <c r="G47" s="15" t="n">
        <v>46234</v>
      </c>
      <c r="H47" s="14" t="n">
        <f aca="false">NETWORKDAYS(F47,G47)</f>
        <v>5</v>
      </c>
      <c r="I47" s="14" t="n">
        <v>2</v>
      </c>
      <c r="J47" s="14" t="s">
        <v>86</v>
      </c>
      <c r="K47" s="14" t="s">
        <v>106</v>
      </c>
      <c r="L47" s="14" t="s">
        <v>211</v>
      </c>
      <c r="M47" s="14"/>
    </row>
    <row r="48" customFormat="false" ht="15" hidden="false" customHeight="false" outlineLevel="2" collapsed="false">
      <c r="A48" s="14" t="s">
        <v>234</v>
      </c>
      <c r="B48" s="14" t="n">
        <v>3</v>
      </c>
      <c r="C48" s="14" t="s">
        <v>209</v>
      </c>
      <c r="D48" s="14" t="s">
        <v>235</v>
      </c>
      <c r="E48" s="14" t="s">
        <v>232</v>
      </c>
      <c r="F48" s="15" t="n">
        <v>46237</v>
      </c>
      <c r="G48" s="15" t="n">
        <v>46248</v>
      </c>
      <c r="H48" s="14" t="n">
        <f aca="false">NETWORKDAYS(F48,G48)</f>
        <v>10</v>
      </c>
      <c r="I48" s="14" t="n">
        <v>0</v>
      </c>
      <c r="J48" s="14" t="s">
        <v>236</v>
      </c>
      <c r="K48" s="14" t="s">
        <v>106</v>
      </c>
      <c r="L48" s="14" t="s">
        <v>211</v>
      </c>
      <c r="M48" s="14" t="s">
        <v>237</v>
      </c>
    </row>
    <row r="49" customFormat="false" ht="15" hidden="false" customHeight="false" outlineLevel="2" collapsed="false">
      <c r="A49" s="14" t="s">
        <v>238</v>
      </c>
      <c r="B49" s="14" t="n">
        <v>3</v>
      </c>
      <c r="C49" s="14" t="s">
        <v>209</v>
      </c>
      <c r="D49" s="14" t="s">
        <v>239</v>
      </c>
      <c r="E49" s="14" t="s">
        <v>234</v>
      </c>
      <c r="F49" s="15" t="n">
        <v>46251</v>
      </c>
      <c r="G49" s="15" t="n">
        <v>46255</v>
      </c>
      <c r="H49" s="14" t="n">
        <f aca="false">NETWORKDAYS(F49,G49)</f>
        <v>5</v>
      </c>
      <c r="I49" s="14" t="n">
        <v>4</v>
      </c>
      <c r="J49" s="14" t="s">
        <v>86</v>
      </c>
      <c r="K49" s="14" t="s">
        <v>106</v>
      </c>
      <c r="L49" s="14" t="s">
        <v>211</v>
      </c>
      <c r="M49" s="14"/>
    </row>
    <row r="50" customFormat="false" ht="23.85" hidden="false" customHeight="false" outlineLevel="2" collapsed="false">
      <c r="A50" s="14" t="s">
        <v>240</v>
      </c>
      <c r="B50" s="14" t="n">
        <v>3</v>
      </c>
      <c r="C50" s="14" t="s">
        <v>209</v>
      </c>
      <c r="D50" s="14" t="s">
        <v>241</v>
      </c>
      <c r="E50" s="14" t="s">
        <v>238</v>
      </c>
      <c r="F50" s="15" t="n">
        <v>46258</v>
      </c>
      <c r="G50" s="15" t="n">
        <v>46262</v>
      </c>
      <c r="H50" s="14" t="n">
        <f aca="false">NETWORKDAYS(F50,G50)</f>
        <v>5</v>
      </c>
      <c r="I50" s="14" t="n">
        <v>4</v>
      </c>
      <c r="J50" s="14" t="s">
        <v>86</v>
      </c>
      <c r="K50" s="14" t="s">
        <v>106</v>
      </c>
      <c r="L50" s="14" t="s">
        <v>211</v>
      </c>
      <c r="M50" s="14" t="s">
        <v>242</v>
      </c>
    </row>
    <row r="51" customFormat="false" ht="23.85" hidden="false" customHeight="false" outlineLevel="1" collapsed="false">
      <c r="A51" s="13" t="s">
        <v>243</v>
      </c>
      <c r="B51" s="13" t="n">
        <v>2</v>
      </c>
      <c r="C51" s="13" t="s">
        <v>209</v>
      </c>
      <c r="D51" s="13" t="s">
        <v>244</v>
      </c>
      <c r="E51" s="13" t="s">
        <v>224</v>
      </c>
      <c r="F51" s="13"/>
      <c r="G51" s="13"/>
      <c r="H51" s="13"/>
      <c r="I51" s="13"/>
      <c r="J51" s="13" t="s">
        <v>245</v>
      </c>
      <c r="K51" s="13" t="s">
        <v>87</v>
      </c>
      <c r="L51" s="13"/>
      <c r="M51" s="13" t="s">
        <v>246</v>
      </c>
    </row>
    <row r="52" customFormat="false" ht="23.85" hidden="false" customHeight="false" outlineLevel="2" collapsed="false">
      <c r="A52" s="14" t="s">
        <v>247</v>
      </c>
      <c r="B52" s="14" t="n">
        <v>3</v>
      </c>
      <c r="C52" s="14" t="s">
        <v>209</v>
      </c>
      <c r="D52" s="14" t="s">
        <v>248</v>
      </c>
      <c r="E52" s="14"/>
      <c r="F52" s="15" t="n">
        <v>46195</v>
      </c>
      <c r="G52" s="15" t="n">
        <v>46199</v>
      </c>
      <c r="H52" s="14" t="n">
        <f aca="false">NETWORKDAYS(F52,G52)</f>
        <v>5</v>
      </c>
      <c r="I52" s="14" t="n">
        <v>3</v>
      </c>
      <c r="J52" s="14" t="s">
        <v>249</v>
      </c>
      <c r="K52" s="14" t="s">
        <v>106</v>
      </c>
      <c r="L52" s="14" t="s">
        <v>211</v>
      </c>
      <c r="M52" s="14" t="s">
        <v>250</v>
      </c>
    </row>
    <row r="53" customFormat="false" ht="23.85" hidden="false" customHeight="false" outlineLevel="2" collapsed="false">
      <c r="A53" s="14" t="s">
        <v>251</v>
      </c>
      <c r="B53" s="14" t="n">
        <v>3</v>
      </c>
      <c r="C53" s="14" t="s">
        <v>209</v>
      </c>
      <c r="D53" s="14" t="s">
        <v>252</v>
      </c>
      <c r="E53" s="14" t="s">
        <v>247</v>
      </c>
      <c r="F53" s="15" t="n">
        <v>46195</v>
      </c>
      <c r="G53" s="15" t="n">
        <v>46199</v>
      </c>
      <c r="H53" s="14" t="n">
        <f aca="false">NETWORKDAYS(F53,G53)</f>
        <v>5</v>
      </c>
      <c r="I53" s="14" t="n">
        <v>1</v>
      </c>
      <c r="J53" s="14" t="s">
        <v>230</v>
      </c>
      <c r="K53" s="14" t="s">
        <v>106</v>
      </c>
      <c r="L53" s="14" t="s">
        <v>211</v>
      </c>
      <c r="M53" s="14" t="s">
        <v>253</v>
      </c>
    </row>
    <row r="54" customFormat="false" ht="15" hidden="false" customHeight="false" outlineLevel="2" collapsed="false">
      <c r="A54" s="14" t="s">
        <v>254</v>
      </c>
      <c r="B54" s="14" t="n">
        <v>3</v>
      </c>
      <c r="C54" s="14" t="s">
        <v>209</v>
      </c>
      <c r="D54" s="14" t="s">
        <v>255</v>
      </c>
      <c r="E54" s="14" t="s">
        <v>224</v>
      </c>
      <c r="F54" s="15" t="n">
        <v>46209</v>
      </c>
      <c r="G54" s="15" t="n">
        <v>46227</v>
      </c>
      <c r="H54" s="14" t="n">
        <f aca="false">NETWORKDAYS(F54,G54)</f>
        <v>15</v>
      </c>
      <c r="I54" s="14" t="n">
        <v>16</v>
      </c>
      <c r="J54" s="14" t="s">
        <v>86</v>
      </c>
      <c r="K54" s="14" t="s">
        <v>106</v>
      </c>
      <c r="L54" s="14" t="s">
        <v>211</v>
      </c>
      <c r="M54" s="14"/>
    </row>
    <row r="55" customFormat="false" ht="23.85" hidden="false" customHeight="false" outlineLevel="2" collapsed="false">
      <c r="A55" s="14" t="s">
        <v>256</v>
      </c>
      <c r="B55" s="14" t="n">
        <v>3</v>
      </c>
      <c r="C55" s="14" t="s">
        <v>209</v>
      </c>
      <c r="D55" s="14" t="s">
        <v>257</v>
      </c>
      <c r="E55" s="14" t="s">
        <v>254</v>
      </c>
      <c r="F55" s="15" t="n">
        <v>46216</v>
      </c>
      <c r="G55" s="15" t="n">
        <v>46227</v>
      </c>
      <c r="H55" s="14" t="n">
        <f aca="false">NETWORKDAYS(F55,G55)</f>
        <v>10</v>
      </c>
      <c r="I55" s="14" t="n">
        <v>8</v>
      </c>
      <c r="J55" s="14" t="s">
        <v>258</v>
      </c>
      <c r="K55" s="14" t="s">
        <v>106</v>
      </c>
      <c r="L55" s="14" t="s">
        <v>211</v>
      </c>
      <c r="M55" s="14" t="s">
        <v>259</v>
      </c>
    </row>
    <row r="56" customFormat="false" ht="15" hidden="false" customHeight="false" outlineLevel="2" collapsed="false">
      <c r="A56" s="14" t="s">
        <v>260</v>
      </c>
      <c r="B56" s="14" t="n">
        <v>3</v>
      </c>
      <c r="C56" s="14" t="s">
        <v>209</v>
      </c>
      <c r="D56" s="14" t="s">
        <v>261</v>
      </c>
      <c r="E56" s="14" t="s">
        <v>254</v>
      </c>
      <c r="F56" s="15" t="n">
        <v>46230</v>
      </c>
      <c r="G56" s="15" t="n">
        <v>46248</v>
      </c>
      <c r="H56" s="14" t="n">
        <f aca="false">NETWORKDAYS(F56,G56)</f>
        <v>15</v>
      </c>
      <c r="I56" s="14" t="n">
        <v>8</v>
      </c>
      <c r="J56" s="14" t="s">
        <v>258</v>
      </c>
      <c r="K56" s="14" t="s">
        <v>106</v>
      </c>
      <c r="L56" s="14" t="s">
        <v>211</v>
      </c>
      <c r="M56" s="14"/>
    </row>
    <row r="57" customFormat="false" ht="23.85" hidden="false" customHeight="false" outlineLevel="2" collapsed="false">
      <c r="A57" s="14" t="s">
        <v>262</v>
      </c>
      <c r="B57" s="14" t="n">
        <v>3</v>
      </c>
      <c r="C57" s="14" t="s">
        <v>209</v>
      </c>
      <c r="D57" s="14" t="s">
        <v>263</v>
      </c>
      <c r="E57" s="14" t="s">
        <v>254</v>
      </c>
      <c r="F57" s="15" t="n">
        <v>46251</v>
      </c>
      <c r="G57" s="15" t="n">
        <v>46276</v>
      </c>
      <c r="H57" s="14" t="n">
        <f aca="false">NETWORKDAYS(F57,G57)</f>
        <v>20</v>
      </c>
      <c r="I57" s="14" t="n">
        <v>8</v>
      </c>
      <c r="J57" s="14" t="s">
        <v>258</v>
      </c>
      <c r="K57" s="14" t="s">
        <v>106</v>
      </c>
      <c r="L57" s="14" t="s">
        <v>211</v>
      </c>
      <c r="M57" s="14" t="s">
        <v>264</v>
      </c>
    </row>
    <row r="58" customFormat="false" ht="23.85" hidden="false" customHeight="false" outlineLevel="2" collapsed="false">
      <c r="A58" s="14" t="s">
        <v>265</v>
      </c>
      <c r="B58" s="14" t="n">
        <v>3</v>
      </c>
      <c r="C58" s="14" t="s">
        <v>209</v>
      </c>
      <c r="D58" s="14" t="s">
        <v>266</v>
      </c>
      <c r="E58" s="14" t="s">
        <v>267</v>
      </c>
      <c r="F58" s="15" t="n">
        <v>46279</v>
      </c>
      <c r="G58" s="15" t="n">
        <v>46290</v>
      </c>
      <c r="H58" s="14" t="n">
        <f aca="false">NETWORKDAYS(F58,G58)</f>
        <v>10</v>
      </c>
      <c r="I58" s="14" t="n">
        <v>4</v>
      </c>
      <c r="J58" s="14" t="s">
        <v>86</v>
      </c>
      <c r="K58" s="14" t="s">
        <v>106</v>
      </c>
      <c r="L58" s="14" t="s">
        <v>211</v>
      </c>
      <c r="M58" s="14" t="s">
        <v>268</v>
      </c>
    </row>
    <row r="59" customFormat="false" ht="35.05" hidden="false" customHeight="false" outlineLevel="1" collapsed="false">
      <c r="A59" s="13" t="s">
        <v>269</v>
      </c>
      <c r="B59" s="13" t="n">
        <v>2</v>
      </c>
      <c r="C59" s="13" t="s">
        <v>209</v>
      </c>
      <c r="D59" s="13" t="s">
        <v>270</v>
      </c>
      <c r="E59" s="13" t="s">
        <v>271</v>
      </c>
      <c r="F59" s="13"/>
      <c r="G59" s="13"/>
      <c r="H59" s="13"/>
      <c r="I59" s="13"/>
      <c r="J59" s="13" t="s">
        <v>272</v>
      </c>
      <c r="K59" s="13" t="s">
        <v>87</v>
      </c>
      <c r="L59" s="13"/>
      <c r="M59" s="13" t="s">
        <v>273</v>
      </c>
    </row>
    <row r="60" customFormat="false" ht="46.25" hidden="false" customHeight="false" outlineLevel="2" collapsed="false">
      <c r="A60" s="14" t="s">
        <v>274</v>
      </c>
      <c r="B60" s="14" t="n">
        <v>3</v>
      </c>
      <c r="C60" s="14" t="s">
        <v>209</v>
      </c>
      <c r="D60" s="14" t="s">
        <v>275</v>
      </c>
      <c r="E60" s="14"/>
      <c r="F60" s="15" t="n">
        <v>46195</v>
      </c>
      <c r="G60" s="15" t="n">
        <v>46220</v>
      </c>
      <c r="H60" s="14" t="n">
        <f aca="false">NETWORKDAYS(F60,G60)</f>
        <v>20</v>
      </c>
      <c r="I60" s="14" t="n">
        <v>4</v>
      </c>
      <c r="J60" s="14" t="s">
        <v>130</v>
      </c>
      <c r="K60" s="14" t="s">
        <v>101</v>
      </c>
      <c r="L60" s="14" t="s">
        <v>211</v>
      </c>
      <c r="M60" s="14" t="s">
        <v>276</v>
      </c>
    </row>
    <row r="61" customFormat="false" ht="23.85" hidden="false" customHeight="false" outlineLevel="2" collapsed="false">
      <c r="A61" s="14" t="s">
        <v>277</v>
      </c>
      <c r="B61" s="14" t="n">
        <v>3</v>
      </c>
      <c r="C61" s="14" t="s">
        <v>209</v>
      </c>
      <c r="D61" s="14" t="s">
        <v>278</v>
      </c>
      <c r="E61" s="14" t="s">
        <v>224</v>
      </c>
      <c r="F61" s="15" t="n">
        <v>46237</v>
      </c>
      <c r="G61" s="15" t="n">
        <v>46248</v>
      </c>
      <c r="H61" s="14" t="n">
        <f aca="false">NETWORKDAYS(F61,G61)</f>
        <v>10</v>
      </c>
      <c r="I61" s="14" t="n">
        <v>6</v>
      </c>
      <c r="J61" s="14" t="s">
        <v>230</v>
      </c>
      <c r="K61" s="14" t="s">
        <v>101</v>
      </c>
      <c r="L61" s="14" t="s">
        <v>211</v>
      </c>
      <c r="M61" s="14"/>
    </row>
    <row r="62" customFormat="false" ht="15" hidden="false" customHeight="false" outlineLevel="2" collapsed="false">
      <c r="A62" s="14" t="s">
        <v>279</v>
      </c>
      <c r="B62" s="14" t="n">
        <v>3</v>
      </c>
      <c r="C62" s="14" t="s">
        <v>209</v>
      </c>
      <c r="D62" s="14" t="s">
        <v>280</v>
      </c>
      <c r="E62" s="14" t="s">
        <v>281</v>
      </c>
      <c r="F62" s="15" t="n">
        <v>46251</v>
      </c>
      <c r="G62" s="15" t="n">
        <v>46269</v>
      </c>
      <c r="H62" s="14" t="n">
        <f aca="false">NETWORKDAYS(F62,G62)</f>
        <v>15</v>
      </c>
      <c r="I62" s="14" t="n">
        <v>12</v>
      </c>
      <c r="J62" s="14" t="s">
        <v>86</v>
      </c>
      <c r="K62" s="14" t="s">
        <v>101</v>
      </c>
      <c r="L62" s="14" t="s">
        <v>211</v>
      </c>
      <c r="M62" s="14"/>
    </row>
    <row r="63" customFormat="false" ht="15" hidden="false" customHeight="false" outlineLevel="2" collapsed="false">
      <c r="A63" s="14" t="s">
        <v>282</v>
      </c>
      <c r="B63" s="14" t="n">
        <v>3</v>
      </c>
      <c r="C63" s="14" t="s">
        <v>209</v>
      </c>
      <c r="D63" s="14" t="s">
        <v>283</v>
      </c>
      <c r="E63" s="14" t="s">
        <v>284</v>
      </c>
      <c r="F63" s="15" t="n">
        <v>46279</v>
      </c>
      <c r="G63" s="15" t="n">
        <v>46283</v>
      </c>
      <c r="H63" s="14" t="n">
        <f aca="false">NETWORKDAYS(F63,G63)</f>
        <v>5</v>
      </c>
      <c r="I63" s="14" t="n">
        <v>4</v>
      </c>
      <c r="J63" s="14" t="s">
        <v>86</v>
      </c>
      <c r="K63" s="14" t="s">
        <v>101</v>
      </c>
      <c r="L63" s="14" t="s">
        <v>168</v>
      </c>
      <c r="M63" s="14" t="s">
        <v>285</v>
      </c>
    </row>
    <row r="64" customFormat="false" ht="23.85" hidden="false" customHeight="false" outlineLevel="1" collapsed="false">
      <c r="A64" s="13" t="s">
        <v>286</v>
      </c>
      <c r="B64" s="13" t="n">
        <v>2</v>
      </c>
      <c r="C64" s="13" t="s">
        <v>209</v>
      </c>
      <c r="D64" s="13" t="s">
        <v>287</v>
      </c>
      <c r="E64" s="13" t="s">
        <v>288</v>
      </c>
      <c r="F64" s="13"/>
      <c r="G64" s="13"/>
      <c r="H64" s="13"/>
      <c r="I64" s="13"/>
      <c r="J64" s="13" t="s">
        <v>86</v>
      </c>
      <c r="K64" s="13" t="s">
        <v>106</v>
      </c>
      <c r="L64" s="13"/>
      <c r="M64" s="13" t="s">
        <v>289</v>
      </c>
    </row>
    <row r="65" customFormat="false" ht="15" hidden="false" customHeight="false" outlineLevel="2" collapsed="false">
      <c r="A65" s="14" t="s">
        <v>290</v>
      </c>
      <c r="B65" s="14" t="n">
        <v>3</v>
      </c>
      <c r="C65" s="14" t="s">
        <v>209</v>
      </c>
      <c r="D65" s="14" t="s">
        <v>291</v>
      </c>
      <c r="E65" s="14" t="s">
        <v>172</v>
      </c>
      <c r="F65" s="15" t="n">
        <v>46287</v>
      </c>
      <c r="G65" s="15" t="n">
        <v>46297</v>
      </c>
      <c r="H65" s="14" t="n">
        <f aca="false">NETWORKDAYS(F65,G65)</f>
        <v>9</v>
      </c>
      <c r="I65" s="14" t="n">
        <v>8</v>
      </c>
      <c r="J65" s="14" t="s">
        <v>86</v>
      </c>
      <c r="K65" s="14" t="s">
        <v>106</v>
      </c>
      <c r="L65" s="14" t="s">
        <v>168</v>
      </c>
      <c r="M65" s="14"/>
    </row>
    <row r="66" customFormat="false" ht="15" hidden="false" customHeight="false" outlineLevel="2" collapsed="false">
      <c r="A66" s="14" t="s">
        <v>292</v>
      </c>
      <c r="B66" s="14" t="n">
        <v>3</v>
      </c>
      <c r="C66" s="14" t="s">
        <v>209</v>
      </c>
      <c r="D66" s="14" t="s">
        <v>293</v>
      </c>
      <c r="E66" s="14" t="s">
        <v>290</v>
      </c>
      <c r="F66" s="15" t="n">
        <v>46300</v>
      </c>
      <c r="G66" s="15" t="n">
        <v>46325</v>
      </c>
      <c r="H66" s="14" t="n">
        <f aca="false">NETWORKDAYS(F66,G66)</f>
        <v>20</v>
      </c>
      <c r="I66" s="14" t="n">
        <v>24</v>
      </c>
      <c r="J66" s="14" t="s">
        <v>86</v>
      </c>
      <c r="K66" s="14" t="s">
        <v>106</v>
      </c>
      <c r="L66" s="14" t="s">
        <v>168</v>
      </c>
      <c r="M66" s="14"/>
    </row>
    <row r="67" customFormat="false" ht="15" hidden="false" customHeight="false" outlineLevel="2" collapsed="false">
      <c r="A67" s="14" t="s">
        <v>294</v>
      </c>
      <c r="B67" s="14" t="n">
        <v>3</v>
      </c>
      <c r="C67" s="14" t="s">
        <v>209</v>
      </c>
      <c r="D67" s="14" t="s">
        <v>295</v>
      </c>
      <c r="E67" s="14" t="s">
        <v>292</v>
      </c>
      <c r="F67" s="15" t="n">
        <v>46328</v>
      </c>
      <c r="G67" s="15" t="n">
        <v>46346</v>
      </c>
      <c r="H67" s="14" t="n">
        <f aca="false">NETWORKDAYS(F67,G67)</f>
        <v>15</v>
      </c>
      <c r="I67" s="14" t="n">
        <v>16</v>
      </c>
      <c r="J67" s="14" t="s">
        <v>86</v>
      </c>
      <c r="K67" s="14" t="s">
        <v>106</v>
      </c>
      <c r="L67" s="14" t="s">
        <v>168</v>
      </c>
      <c r="M67" s="14"/>
    </row>
    <row r="68" customFormat="false" ht="15" hidden="false" customHeight="false" outlineLevel="2" collapsed="false">
      <c r="A68" s="14" t="s">
        <v>296</v>
      </c>
      <c r="B68" s="14" t="n">
        <v>3</v>
      </c>
      <c r="C68" s="14" t="s">
        <v>209</v>
      </c>
      <c r="D68" s="14" t="s">
        <v>297</v>
      </c>
      <c r="E68" s="14" t="s">
        <v>294</v>
      </c>
      <c r="F68" s="15" t="n">
        <v>46357</v>
      </c>
      <c r="G68" s="15" t="n">
        <v>46367</v>
      </c>
      <c r="H68" s="14" t="n">
        <f aca="false">NETWORKDAYS(F68,G68)</f>
        <v>9</v>
      </c>
      <c r="I68" s="14" t="n">
        <v>8</v>
      </c>
      <c r="J68" s="14" t="s">
        <v>230</v>
      </c>
      <c r="K68" s="14" t="s">
        <v>106</v>
      </c>
      <c r="L68" s="14" t="s">
        <v>168</v>
      </c>
      <c r="M68" s="14"/>
    </row>
    <row r="69" customFormat="false" ht="15" hidden="false" customHeight="false" outlineLevel="1" collapsed="false">
      <c r="A69" s="13" t="s">
        <v>298</v>
      </c>
      <c r="B69" s="13" t="n">
        <v>2</v>
      </c>
      <c r="C69" s="13" t="s">
        <v>209</v>
      </c>
      <c r="D69" s="13" t="s">
        <v>299</v>
      </c>
      <c r="E69" s="13" t="s">
        <v>224</v>
      </c>
      <c r="F69" s="13"/>
      <c r="G69" s="13"/>
      <c r="H69" s="13"/>
      <c r="I69" s="13"/>
      <c r="J69" s="13" t="s">
        <v>300</v>
      </c>
      <c r="K69" s="13" t="s">
        <v>106</v>
      </c>
      <c r="L69" s="13"/>
      <c r="M69" s="13" t="s">
        <v>301</v>
      </c>
    </row>
    <row r="70" customFormat="false" ht="23.85" hidden="false" customHeight="false" outlineLevel="2" collapsed="false">
      <c r="A70" s="14" t="s">
        <v>302</v>
      </c>
      <c r="B70" s="14" t="n">
        <v>3</v>
      </c>
      <c r="C70" s="14" t="s">
        <v>209</v>
      </c>
      <c r="D70" s="14" t="s">
        <v>303</v>
      </c>
      <c r="E70" s="14" t="s">
        <v>304</v>
      </c>
      <c r="F70" s="15" t="n">
        <v>46286</v>
      </c>
      <c r="G70" s="15" t="n">
        <v>46325</v>
      </c>
      <c r="H70" s="14" t="n">
        <f aca="false">NETWORKDAYS(F70,G70)</f>
        <v>30</v>
      </c>
      <c r="I70" s="14" t="n">
        <v>16</v>
      </c>
      <c r="J70" s="14" t="s">
        <v>305</v>
      </c>
      <c r="K70" s="14" t="s">
        <v>106</v>
      </c>
      <c r="L70" s="14" t="s">
        <v>211</v>
      </c>
      <c r="M70" s="14"/>
    </row>
    <row r="71" customFormat="false" ht="15" hidden="false" customHeight="false" outlineLevel="2" collapsed="false">
      <c r="A71" s="14" t="s">
        <v>306</v>
      </c>
      <c r="B71" s="14" t="n">
        <v>3</v>
      </c>
      <c r="C71" s="14" t="s">
        <v>209</v>
      </c>
      <c r="D71" s="14" t="s">
        <v>307</v>
      </c>
      <c r="E71" s="14" t="s">
        <v>302</v>
      </c>
      <c r="F71" s="15" t="n">
        <v>46300</v>
      </c>
      <c r="G71" s="15" t="n">
        <v>46311</v>
      </c>
      <c r="H71" s="14" t="n">
        <f aca="false">NETWORKDAYS(F71,G71)</f>
        <v>10</v>
      </c>
      <c r="I71" s="14" t="n">
        <v>4</v>
      </c>
      <c r="J71" s="14" t="s">
        <v>308</v>
      </c>
      <c r="K71" s="14" t="s">
        <v>106</v>
      </c>
      <c r="L71" s="14" t="s">
        <v>211</v>
      </c>
      <c r="M71" s="14"/>
    </row>
    <row r="72" customFormat="false" ht="15" hidden="false" customHeight="false" outlineLevel="2" collapsed="false">
      <c r="A72" s="14" t="s">
        <v>309</v>
      </c>
      <c r="B72" s="14" t="n">
        <v>3</v>
      </c>
      <c r="C72" s="14" t="s">
        <v>209</v>
      </c>
      <c r="D72" s="14" t="s">
        <v>310</v>
      </c>
      <c r="E72" s="14" t="s">
        <v>306</v>
      </c>
      <c r="F72" s="15" t="n">
        <v>46314</v>
      </c>
      <c r="G72" s="15" t="n">
        <v>46325</v>
      </c>
      <c r="H72" s="14" t="n">
        <f aca="false">NETWORKDAYS(F72,G72)</f>
        <v>10</v>
      </c>
      <c r="I72" s="14" t="n">
        <v>4</v>
      </c>
      <c r="J72" s="14" t="s">
        <v>305</v>
      </c>
      <c r="K72" s="14" t="s">
        <v>106</v>
      </c>
      <c r="L72" s="14" t="s">
        <v>211</v>
      </c>
      <c r="M72" s="14"/>
    </row>
    <row r="73" customFormat="false" ht="15" hidden="false" customHeight="false" outlineLevel="2" collapsed="false">
      <c r="A73" s="14" t="s">
        <v>311</v>
      </c>
      <c r="B73" s="14" t="n">
        <v>3</v>
      </c>
      <c r="C73" s="14" t="s">
        <v>209</v>
      </c>
      <c r="D73" s="14" t="s">
        <v>312</v>
      </c>
      <c r="E73" s="14" t="s">
        <v>309</v>
      </c>
      <c r="F73" s="15" t="n">
        <v>46328</v>
      </c>
      <c r="G73" s="15" t="n">
        <v>46367</v>
      </c>
      <c r="H73" s="14" t="n">
        <f aca="false">NETWORKDAYS(F73,G73)</f>
        <v>30</v>
      </c>
      <c r="I73" s="14" t="n">
        <v>8</v>
      </c>
      <c r="J73" s="14" t="s">
        <v>313</v>
      </c>
      <c r="K73" s="14" t="s">
        <v>106</v>
      </c>
      <c r="L73" s="14" t="s">
        <v>211</v>
      </c>
      <c r="M73" s="14"/>
    </row>
    <row r="74" customFormat="false" ht="15" hidden="false" customHeight="false" outlineLevel="2" collapsed="false">
      <c r="A74" s="14" t="s">
        <v>314</v>
      </c>
      <c r="B74" s="14" t="n">
        <v>3</v>
      </c>
      <c r="C74" s="14" t="s">
        <v>209</v>
      </c>
      <c r="D74" s="14" t="s">
        <v>315</v>
      </c>
      <c r="E74" s="14" t="s">
        <v>311</v>
      </c>
      <c r="F74" s="15" t="n">
        <v>46370</v>
      </c>
      <c r="G74" s="15" t="n">
        <v>46386</v>
      </c>
      <c r="H74" s="14" t="n">
        <f aca="false">NETWORKDAYS(F74,G74)</f>
        <v>13</v>
      </c>
      <c r="I74" s="14" t="n">
        <v>4</v>
      </c>
      <c r="J74" s="14" t="s">
        <v>86</v>
      </c>
      <c r="K74" s="14" t="s">
        <v>106</v>
      </c>
      <c r="L74" s="14" t="s">
        <v>211</v>
      </c>
      <c r="M74" s="14"/>
    </row>
    <row r="75" customFormat="false" ht="15" hidden="false" customHeight="false" outlineLevel="0" collapsed="false">
      <c r="H75" s="16" t="s">
        <v>316</v>
      </c>
      <c r="I75" s="17" t="n">
        <f aca="false">SUM(I2:I74)</f>
        <v>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6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7" t="s">
        <v>317</v>
      </c>
      <c r="B1" s="7" t="s">
        <v>318</v>
      </c>
      <c r="C1" s="7" t="s">
        <v>319</v>
      </c>
      <c r="D1" s="7" t="s">
        <v>320</v>
      </c>
      <c r="E1" s="7" t="s">
        <v>321</v>
      </c>
      <c r="F1" s="7" t="s">
        <v>82</v>
      </c>
    </row>
    <row r="2" customFormat="false" ht="23.85" hidden="false" customHeight="false" outlineLevel="0" collapsed="false">
      <c r="A2" s="10" t="s">
        <v>322</v>
      </c>
      <c r="B2" s="10" t="s">
        <v>323</v>
      </c>
      <c r="C2" s="11" t="n">
        <v>46202</v>
      </c>
      <c r="D2" s="10" t="s">
        <v>324</v>
      </c>
      <c r="E2" s="10" t="s">
        <v>325</v>
      </c>
      <c r="F2" s="10" t="s">
        <v>326</v>
      </c>
    </row>
    <row r="3" customFormat="false" ht="15" hidden="false" customHeight="false" outlineLevel="0" collapsed="false">
      <c r="A3" s="14" t="s">
        <v>327</v>
      </c>
      <c r="B3" s="14" t="s">
        <v>328</v>
      </c>
      <c r="C3" s="15" t="n">
        <v>46199</v>
      </c>
      <c r="D3" s="14" t="s">
        <v>329</v>
      </c>
      <c r="E3" s="14" t="s">
        <v>330</v>
      </c>
      <c r="F3" s="14" t="s">
        <v>331</v>
      </c>
    </row>
    <row r="4" customFormat="false" ht="15" hidden="false" customHeight="false" outlineLevel="0" collapsed="false">
      <c r="A4" s="14" t="s">
        <v>327</v>
      </c>
      <c r="B4" s="14" t="s">
        <v>332</v>
      </c>
      <c r="C4" s="15" t="n">
        <v>46199</v>
      </c>
      <c r="D4" s="14" t="s">
        <v>333</v>
      </c>
      <c r="E4" s="14" t="s">
        <v>334</v>
      </c>
      <c r="F4" s="14" t="s">
        <v>335</v>
      </c>
    </row>
    <row r="5" customFormat="false" ht="15" hidden="false" customHeight="false" outlineLevel="0" collapsed="false">
      <c r="A5" s="14" t="s">
        <v>336</v>
      </c>
      <c r="B5" s="14" t="s">
        <v>337</v>
      </c>
      <c r="C5" s="15" t="n">
        <v>46192</v>
      </c>
      <c r="D5" s="14" t="s">
        <v>333</v>
      </c>
      <c r="E5" s="14" t="s">
        <v>338</v>
      </c>
      <c r="F5" s="14" t="s">
        <v>339</v>
      </c>
    </row>
    <row r="6" customFormat="false" ht="23.85" hidden="false" customHeight="false" outlineLevel="0" collapsed="false">
      <c r="A6" s="10" t="s">
        <v>322</v>
      </c>
      <c r="B6" s="10" t="s">
        <v>340</v>
      </c>
      <c r="C6" s="11" t="n">
        <v>46230</v>
      </c>
      <c r="D6" s="10" t="s">
        <v>324</v>
      </c>
      <c r="E6" s="10" t="s">
        <v>341</v>
      </c>
      <c r="F6" s="10" t="s">
        <v>342</v>
      </c>
    </row>
    <row r="7" customFormat="false" ht="15" hidden="false" customHeight="false" outlineLevel="0" collapsed="false">
      <c r="A7" s="18" t="s">
        <v>343</v>
      </c>
      <c r="B7" s="18" t="s">
        <v>344</v>
      </c>
      <c r="C7" s="19" t="n">
        <v>46227</v>
      </c>
      <c r="D7" s="18" t="s">
        <v>333</v>
      </c>
      <c r="E7" s="18" t="s">
        <v>334</v>
      </c>
      <c r="F7" s="18"/>
    </row>
    <row r="8" customFormat="false" ht="23.85" hidden="false" customHeight="false" outlineLevel="0" collapsed="false">
      <c r="A8" s="10" t="s">
        <v>322</v>
      </c>
      <c r="B8" s="10" t="s">
        <v>345</v>
      </c>
      <c r="C8" s="11" t="n">
        <v>46251</v>
      </c>
      <c r="D8" s="10" t="s">
        <v>324</v>
      </c>
      <c r="E8" s="10" t="s">
        <v>346</v>
      </c>
      <c r="F8" s="10" t="s">
        <v>347</v>
      </c>
    </row>
    <row r="9" customFormat="false" ht="15" hidden="false" customHeight="false" outlineLevel="0" collapsed="false">
      <c r="A9" s="18" t="s">
        <v>343</v>
      </c>
      <c r="B9" s="18" t="s">
        <v>348</v>
      </c>
      <c r="C9" s="19" t="n">
        <v>46248</v>
      </c>
      <c r="D9" s="18" t="s">
        <v>333</v>
      </c>
      <c r="E9" s="18" t="s">
        <v>334</v>
      </c>
      <c r="F9" s="18"/>
    </row>
    <row r="10" customFormat="false" ht="23.85" hidden="false" customHeight="false" outlineLevel="0" collapsed="false">
      <c r="A10" s="18" t="s">
        <v>343</v>
      </c>
      <c r="B10" s="18" t="s">
        <v>349</v>
      </c>
      <c r="C10" s="19" t="n">
        <v>46265</v>
      </c>
      <c r="D10" s="18" t="s">
        <v>333</v>
      </c>
      <c r="E10" s="18" t="s">
        <v>334</v>
      </c>
      <c r="F10" s="18" t="s">
        <v>350</v>
      </c>
    </row>
    <row r="11" customFormat="false" ht="15" hidden="false" customHeight="false" outlineLevel="0" collapsed="false">
      <c r="A11" s="18" t="s">
        <v>343</v>
      </c>
      <c r="B11" s="18" t="s">
        <v>351</v>
      </c>
      <c r="C11" s="19" t="n">
        <v>46276</v>
      </c>
      <c r="D11" s="18" t="s">
        <v>333</v>
      </c>
      <c r="E11" s="18" t="s">
        <v>334</v>
      </c>
      <c r="F11" s="18" t="s">
        <v>352</v>
      </c>
    </row>
    <row r="12" customFormat="false" ht="23.85" hidden="false" customHeight="false" outlineLevel="0" collapsed="false">
      <c r="A12" s="10" t="s">
        <v>322</v>
      </c>
      <c r="B12" s="10" t="s">
        <v>353</v>
      </c>
      <c r="C12" s="11" t="n">
        <v>46279</v>
      </c>
      <c r="D12" s="10" t="s">
        <v>354</v>
      </c>
      <c r="E12" s="10" t="s">
        <v>341</v>
      </c>
      <c r="F12" s="10" t="s">
        <v>355</v>
      </c>
    </row>
    <row r="13" customFormat="false" ht="15" hidden="false" customHeight="false" outlineLevel="0" collapsed="false">
      <c r="A13" s="10" t="s">
        <v>322</v>
      </c>
      <c r="B13" s="10" t="s">
        <v>356</v>
      </c>
      <c r="C13" s="11" t="n">
        <v>46279</v>
      </c>
      <c r="D13" s="10" t="s">
        <v>324</v>
      </c>
      <c r="E13" s="10" t="s">
        <v>346</v>
      </c>
      <c r="F13" s="10" t="s">
        <v>357</v>
      </c>
    </row>
    <row r="14" customFormat="false" ht="15" hidden="false" customHeight="false" outlineLevel="0" collapsed="false">
      <c r="A14" s="18" t="s">
        <v>343</v>
      </c>
      <c r="B14" s="18" t="s">
        <v>358</v>
      </c>
      <c r="C14" s="19" t="n">
        <v>46295</v>
      </c>
      <c r="D14" s="18" t="s">
        <v>333</v>
      </c>
      <c r="E14" s="18" t="s">
        <v>334</v>
      </c>
      <c r="F14" s="18"/>
    </row>
    <row r="15" customFormat="false" ht="15" hidden="false" customHeight="false" outlineLevel="0" collapsed="false">
      <c r="A15" s="18" t="s">
        <v>343</v>
      </c>
      <c r="B15" s="18" t="s">
        <v>359</v>
      </c>
      <c r="C15" s="19" t="n">
        <v>46295</v>
      </c>
      <c r="D15" s="18" t="s">
        <v>360</v>
      </c>
      <c r="E15" s="18" t="s">
        <v>341</v>
      </c>
      <c r="F15" s="18" t="s">
        <v>361</v>
      </c>
    </row>
    <row r="16" customFormat="false" ht="35.05" hidden="false" customHeight="false" outlineLevel="0" collapsed="false">
      <c r="A16" s="18" t="s">
        <v>343</v>
      </c>
      <c r="B16" s="18" t="s">
        <v>362</v>
      </c>
      <c r="C16" s="19" t="n">
        <v>46295</v>
      </c>
      <c r="D16" s="18" t="s">
        <v>363</v>
      </c>
      <c r="E16" s="18" t="s">
        <v>364</v>
      </c>
      <c r="F16" s="18" t="s">
        <v>365</v>
      </c>
    </row>
    <row r="17" customFormat="false" ht="15" hidden="false" customHeight="false" outlineLevel="0" collapsed="false">
      <c r="A17" s="10" t="s">
        <v>322</v>
      </c>
      <c r="B17" s="10" t="s">
        <v>366</v>
      </c>
      <c r="C17" s="11" t="n">
        <v>46314</v>
      </c>
      <c r="D17" s="10" t="s">
        <v>324</v>
      </c>
      <c r="E17" s="10" t="s">
        <v>325</v>
      </c>
      <c r="F17" s="10" t="s">
        <v>367</v>
      </c>
    </row>
    <row r="18" customFormat="false" ht="15" hidden="false" customHeight="false" outlineLevel="0" collapsed="false">
      <c r="A18" s="10" t="s">
        <v>322</v>
      </c>
      <c r="B18" s="10" t="s">
        <v>368</v>
      </c>
      <c r="C18" s="11" t="n">
        <v>46300</v>
      </c>
      <c r="D18" s="10" t="s">
        <v>369</v>
      </c>
      <c r="E18" s="10" t="s">
        <v>370</v>
      </c>
      <c r="F18" s="10" t="s">
        <v>371</v>
      </c>
    </row>
    <row r="19" customFormat="false" ht="15" hidden="false" customHeight="false" outlineLevel="0" collapsed="false">
      <c r="A19" s="10" t="s">
        <v>322</v>
      </c>
      <c r="B19" s="10" t="s">
        <v>372</v>
      </c>
      <c r="C19" s="11" t="n">
        <v>46328</v>
      </c>
      <c r="D19" s="10" t="s">
        <v>369</v>
      </c>
      <c r="E19" s="10" t="s">
        <v>370</v>
      </c>
      <c r="F19" s="10" t="s">
        <v>373</v>
      </c>
    </row>
    <row r="20" customFormat="false" ht="15" hidden="false" customHeight="false" outlineLevel="0" collapsed="false">
      <c r="A20" s="20" t="s">
        <v>374</v>
      </c>
      <c r="B20" s="20" t="s">
        <v>375</v>
      </c>
      <c r="C20" s="21" t="n">
        <v>46352</v>
      </c>
      <c r="D20" s="20" t="s">
        <v>376</v>
      </c>
      <c r="E20" s="20" t="s">
        <v>377</v>
      </c>
      <c r="F20" s="20" t="s">
        <v>378</v>
      </c>
    </row>
    <row r="21" customFormat="false" ht="15" hidden="false" customHeight="false" outlineLevel="0" collapsed="false">
      <c r="A21" s="18" t="s">
        <v>343</v>
      </c>
      <c r="B21" s="18" t="s">
        <v>379</v>
      </c>
      <c r="C21" s="19" t="n">
        <v>46367</v>
      </c>
      <c r="D21" s="18" t="s">
        <v>380</v>
      </c>
      <c r="E21" s="18" t="s">
        <v>334</v>
      </c>
      <c r="F21" s="18" t="s">
        <v>381</v>
      </c>
    </row>
    <row r="22" customFormat="false" ht="15" hidden="false" customHeight="false" outlineLevel="0" collapsed="false">
      <c r="A22" s="18" t="s">
        <v>343</v>
      </c>
      <c r="B22" s="18" t="s">
        <v>382</v>
      </c>
      <c r="C22" s="19" t="n">
        <v>46374</v>
      </c>
      <c r="D22" s="18" t="s">
        <v>329</v>
      </c>
      <c r="E22" s="18" t="s">
        <v>364</v>
      </c>
      <c r="F22" s="18" t="s">
        <v>383</v>
      </c>
    </row>
    <row r="23" customFormat="false" ht="15" hidden="false" customHeight="false" outlineLevel="0" collapsed="false">
      <c r="A23" s="18" t="s">
        <v>343</v>
      </c>
      <c r="B23" s="18" t="s">
        <v>384</v>
      </c>
      <c r="C23" s="19" t="n">
        <v>46386</v>
      </c>
      <c r="D23" s="18" t="s">
        <v>333</v>
      </c>
      <c r="E23" s="18" t="s">
        <v>334</v>
      </c>
      <c r="F23" s="18"/>
    </row>
    <row r="24" customFormat="false" ht="15" hidden="false" customHeight="false" outlineLevel="0" collapsed="false">
      <c r="A24" s="20" t="s">
        <v>374</v>
      </c>
      <c r="B24" s="20" t="s">
        <v>385</v>
      </c>
      <c r="C24" s="21" t="n">
        <v>46380</v>
      </c>
      <c r="D24" s="20" t="s">
        <v>376</v>
      </c>
      <c r="E24" s="20" t="s">
        <v>377</v>
      </c>
      <c r="F24" s="20" t="s">
        <v>386</v>
      </c>
    </row>
    <row r="25" customFormat="false" ht="15" hidden="false" customHeight="false" outlineLevel="0" collapsed="false">
      <c r="A25" s="18" t="s">
        <v>343</v>
      </c>
      <c r="B25" s="18" t="s">
        <v>387</v>
      </c>
      <c r="C25" s="19" t="n">
        <v>46387</v>
      </c>
      <c r="D25" s="18" t="s">
        <v>376</v>
      </c>
      <c r="E25" s="18" t="s">
        <v>334</v>
      </c>
      <c r="F25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26.85" hidden="false" customHeight="false" outlineLevel="0" collapsed="false">
      <c r="A1" s="7" t="s">
        <v>388</v>
      </c>
      <c r="B1" s="7" t="s">
        <v>389</v>
      </c>
      <c r="C1" s="7" t="s">
        <v>390</v>
      </c>
      <c r="D1" s="7" t="s">
        <v>391</v>
      </c>
      <c r="E1" s="7" t="s">
        <v>392</v>
      </c>
      <c r="F1" s="7" t="s">
        <v>393</v>
      </c>
      <c r="G1" s="7" t="s">
        <v>394</v>
      </c>
      <c r="H1" s="7" t="s">
        <v>395</v>
      </c>
    </row>
    <row r="2" customFormat="false" ht="23.85" hidden="false" customHeight="false" outlineLevel="0" collapsed="false">
      <c r="A2" s="22" t="n">
        <v>46188</v>
      </c>
      <c r="B2" s="22" t="n">
        <v>46192</v>
      </c>
      <c r="C2" s="23" t="n">
        <v>24</v>
      </c>
      <c r="D2" s="23" t="n">
        <v>1</v>
      </c>
      <c r="E2" s="23" t="n">
        <v>2</v>
      </c>
      <c r="F2" s="23" t="n">
        <f aca="false">D2+E2</f>
        <v>3</v>
      </c>
      <c r="G2" s="23" t="n">
        <f aca="false">C2-F2</f>
        <v>21</v>
      </c>
      <c r="H2" s="23" t="s">
        <v>396</v>
      </c>
    </row>
    <row r="3" customFormat="false" ht="15" hidden="false" customHeight="false" outlineLevel="0" collapsed="false">
      <c r="A3" s="22" t="n">
        <v>46195</v>
      </c>
      <c r="B3" s="22" t="n">
        <v>46199</v>
      </c>
      <c r="C3" s="23" t="n">
        <v>24</v>
      </c>
      <c r="D3" s="23" t="n">
        <v>6</v>
      </c>
      <c r="E3" s="23" t="n">
        <v>4</v>
      </c>
      <c r="F3" s="23" t="n">
        <f aca="false">D3+E3</f>
        <v>10</v>
      </c>
      <c r="G3" s="23" t="n">
        <f aca="false">C3-F3</f>
        <v>14</v>
      </c>
      <c r="H3" s="23" t="s">
        <v>397</v>
      </c>
    </row>
    <row r="4" customFormat="false" ht="23.85" hidden="false" customHeight="false" outlineLevel="0" collapsed="false">
      <c r="A4" s="22" t="n">
        <v>46202</v>
      </c>
      <c r="B4" s="22" t="n">
        <v>46206</v>
      </c>
      <c r="C4" s="23" t="n">
        <v>12</v>
      </c>
      <c r="D4" s="23" t="n">
        <v>6</v>
      </c>
      <c r="E4" s="23" t="n">
        <v>0</v>
      </c>
      <c r="F4" s="23" t="n">
        <f aca="false">D4+E4</f>
        <v>6</v>
      </c>
      <c r="G4" s="23" t="n">
        <f aca="false">C4-F4</f>
        <v>6</v>
      </c>
      <c r="H4" s="23" t="s">
        <v>398</v>
      </c>
    </row>
    <row r="5" customFormat="false" ht="23.85" hidden="false" customHeight="false" outlineLevel="0" collapsed="false">
      <c r="A5" s="22" t="n">
        <v>46209</v>
      </c>
      <c r="B5" s="22" t="n">
        <v>46213</v>
      </c>
      <c r="C5" s="23" t="n">
        <v>24</v>
      </c>
      <c r="D5" s="23" t="n">
        <v>14</v>
      </c>
      <c r="E5" s="23" t="n">
        <v>8</v>
      </c>
      <c r="F5" s="23" t="n">
        <f aca="false">D5+E5</f>
        <v>22</v>
      </c>
      <c r="G5" s="23" t="n">
        <f aca="false">C5-F5</f>
        <v>2</v>
      </c>
      <c r="H5" s="23" t="s">
        <v>399</v>
      </c>
    </row>
    <row r="6" customFormat="false" ht="15" hidden="false" customHeight="false" outlineLevel="0" collapsed="false">
      <c r="A6" s="22" t="n">
        <v>46216</v>
      </c>
      <c r="B6" s="22" t="n">
        <v>46220</v>
      </c>
      <c r="C6" s="23" t="n">
        <v>24</v>
      </c>
      <c r="D6" s="23" t="n">
        <v>12</v>
      </c>
      <c r="E6" s="23" t="n">
        <v>14</v>
      </c>
      <c r="F6" s="23" t="n">
        <f aca="false">D6+E6</f>
        <v>26</v>
      </c>
      <c r="G6" s="23" t="n">
        <f aca="false">C6-F6</f>
        <v>-2</v>
      </c>
      <c r="H6" s="23" t="s">
        <v>400</v>
      </c>
    </row>
    <row r="7" customFormat="false" ht="15" hidden="false" customHeight="false" outlineLevel="0" collapsed="false">
      <c r="A7" s="22" t="n">
        <v>46223</v>
      </c>
      <c r="B7" s="22" t="n">
        <v>46227</v>
      </c>
      <c r="C7" s="23" t="n">
        <v>24</v>
      </c>
      <c r="D7" s="23" t="n">
        <v>14</v>
      </c>
      <c r="E7" s="23" t="n">
        <v>8</v>
      </c>
      <c r="F7" s="23" t="n">
        <f aca="false">D7+E7</f>
        <v>22</v>
      </c>
      <c r="G7" s="23" t="n">
        <f aca="false">C7-F7</f>
        <v>2</v>
      </c>
      <c r="H7" s="23" t="s">
        <v>401</v>
      </c>
    </row>
    <row r="8" customFormat="false" ht="15" hidden="false" customHeight="false" outlineLevel="0" collapsed="false">
      <c r="A8" s="22" t="n">
        <v>46230</v>
      </c>
      <c r="B8" s="22" t="n">
        <v>46234</v>
      </c>
      <c r="C8" s="23" t="n">
        <v>8</v>
      </c>
      <c r="D8" s="23" t="n">
        <v>8</v>
      </c>
      <c r="E8" s="23" t="n">
        <v>6</v>
      </c>
      <c r="F8" s="23" t="n">
        <f aca="false">D8+E8</f>
        <v>14</v>
      </c>
      <c r="G8" s="23" t="n">
        <f aca="false">C8-F8</f>
        <v>-6</v>
      </c>
      <c r="H8" s="23" t="s">
        <v>402</v>
      </c>
    </row>
    <row r="9" customFormat="false" ht="23.85" hidden="false" customHeight="false" outlineLevel="0" collapsed="false">
      <c r="A9" s="22" t="n">
        <v>46237</v>
      </c>
      <c r="B9" s="22" t="n">
        <v>46241</v>
      </c>
      <c r="C9" s="23" t="n">
        <v>24</v>
      </c>
      <c r="D9" s="23" t="n">
        <v>14</v>
      </c>
      <c r="E9" s="23" t="n">
        <v>6</v>
      </c>
      <c r="F9" s="23" t="n">
        <f aca="false">D9+E9</f>
        <v>20</v>
      </c>
      <c r="G9" s="23" t="n">
        <f aca="false">C9-F9</f>
        <v>4</v>
      </c>
      <c r="H9" s="23" t="s">
        <v>403</v>
      </c>
    </row>
    <row r="10" customFormat="false" ht="23.85" hidden="false" customHeight="false" outlineLevel="0" collapsed="false">
      <c r="A10" s="22" t="n">
        <v>46244</v>
      </c>
      <c r="B10" s="22" t="n">
        <v>46248</v>
      </c>
      <c r="C10" s="23" t="n">
        <v>24</v>
      </c>
      <c r="D10" s="23" t="n">
        <v>16</v>
      </c>
      <c r="E10" s="23" t="n">
        <v>6</v>
      </c>
      <c r="F10" s="23" t="n">
        <f aca="false">D10+E10</f>
        <v>22</v>
      </c>
      <c r="G10" s="23" t="n">
        <f aca="false">C10-F10</f>
        <v>2</v>
      </c>
      <c r="H10" s="23" t="s">
        <v>404</v>
      </c>
    </row>
    <row r="11" customFormat="false" ht="23.85" hidden="false" customHeight="false" outlineLevel="0" collapsed="false">
      <c r="A11" s="22" t="n">
        <v>46251</v>
      </c>
      <c r="B11" s="22" t="n">
        <v>46255</v>
      </c>
      <c r="C11" s="23" t="n">
        <v>8</v>
      </c>
      <c r="D11" s="23" t="n">
        <v>8</v>
      </c>
      <c r="E11" s="23" t="n">
        <v>12</v>
      </c>
      <c r="F11" s="23" t="n">
        <f aca="false">D11+E11</f>
        <v>20</v>
      </c>
      <c r="G11" s="23" t="n">
        <f aca="false">C11-F11</f>
        <v>-12</v>
      </c>
      <c r="H11" s="23" t="s">
        <v>405</v>
      </c>
    </row>
    <row r="12" customFormat="false" ht="15" hidden="false" customHeight="false" outlineLevel="0" collapsed="false">
      <c r="A12" s="22" t="n">
        <v>46258</v>
      </c>
      <c r="B12" s="22" t="n">
        <v>46262</v>
      </c>
      <c r="C12" s="23" t="n">
        <v>24</v>
      </c>
      <c r="D12" s="23" t="n">
        <v>14</v>
      </c>
      <c r="E12" s="23" t="n">
        <v>8</v>
      </c>
      <c r="F12" s="23" t="n">
        <f aca="false">D12+E12</f>
        <v>22</v>
      </c>
      <c r="G12" s="23" t="n">
        <f aca="false">C12-F12</f>
        <v>2</v>
      </c>
      <c r="H12" s="23" t="s">
        <v>406</v>
      </c>
    </row>
    <row r="13" customFormat="false" ht="15" hidden="false" customHeight="false" outlineLevel="0" collapsed="false">
      <c r="A13" s="22" t="n">
        <v>46265</v>
      </c>
      <c r="B13" s="22" t="n">
        <v>46269</v>
      </c>
      <c r="C13" s="23" t="n">
        <v>24</v>
      </c>
      <c r="D13" s="23" t="n">
        <v>16</v>
      </c>
      <c r="E13" s="23" t="n">
        <v>4</v>
      </c>
      <c r="F13" s="23" t="n">
        <f aca="false">D13+E13</f>
        <v>20</v>
      </c>
      <c r="G13" s="23" t="n">
        <f aca="false">C13-F13</f>
        <v>4</v>
      </c>
      <c r="H13" s="23" t="s">
        <v>407</v>
      </c>
    </row>
    <row r="14" customFormat="false" ht="15" hidden="false" customHeight="false" outlineLevel="0" collapsed="false">
      <c r="A14" s="22" t="n">
        <v>46272</v>
      </c>
      <c r="B14" s="22" t="n">
        <v>46276</v>
      </c>
      <c r="C14" s="23" t="n">
        <v>24</v>
      </c>
      <c r="D14" s="23" t="n">
        <v>14</v>
      </c>
      <c r="E14" s="23" t="n">
        <v>8</v>
      </c>
      <c r="F14" s="23" t="n">
        <f aca="false">D14+E14</f>
        <v>22</v>
      </c>
      <c r="G14" s="23" t="n">
        <f aca="false">C14-F14</f>
        <v>2</v>
      </c>
      <c r="H14" s="23" t="s">
        <v>408</v>
      </c>
    </row>
    <row r="15" customFormat="false" ht="15" hidden="false" customHeight="false" outlineLevel="0" collapsed="false">
      <c r="A15" s="22" t="n">
        <v>46279</v>
      </c>
      <c r="B15" s="22" t="n">
        <v>46283</v>
      </c>
      <c r="C15" s="23" t="n">
        <v>0</v>
      </c>
      <c r="D15" s="23" t="n">
        <v>30</v>
      </c>
      <c r="E15" s="23" t="n">
        <v>4</v>
      </c>
      <c r="F15" s="23" t="n">
        <f aca="false">D15+E15</f>
        <v>34</v>
      </c>
      <c r="G15" s="23" t="n">
        <f aca="false">C15-F15</f>
        <v>-34</v>
      </c>
      <c r="H15" s="23" t="s">
        <v>409</v>
      </c>
    </row>
    <row r="16" customFormat="false" ht="23.85" hidden="false" customHeight="false" outlineLevel="0" collapsed="false">
      <c r="A16" s="22" t="n">
        <v>46286</v>
      </c>
      <c r="B16" s="22" t="n">
        <v>46290</v>
      </c>
      <c r="C16" s="23" t="n">
        <v>24</v>
      </c>
      <c r="D16" s="23" t="n">
        <v>10</v>
      </c>
      <c r="E16" s="23" t="n">
        <v>8</v>
      </c>
      <c r="F16" s="23" t="n">
        <f aca="false">D16+E16</f>
        <v>18</v>
      </c>
      <c r="G16" s="23" t="n">
        <f aca="false">C16-F16</f>
        <v>6</v>
      </c>
      <c r="H16" s="23" t="s">
        <v>410</v>
      </c>
    </row>
    <row r="17" customFormat="false" ht="23.85" hidden="false" customHeight="false" outlineLevel="0" collapsed="false">
      <c r="A17" s="22" t="n">
        <v>46293</v>
      </c>
      <c r="B17" s="22" t="n">
        <v>46297</v>
      </c>
      <c r="C17" s="23" t="n">
        <v>24</v>
      </c>
      <c r="D17" s="23" t="n">
        <v>12</v>
      </c>
      <c r="E17" s="23" t="n">
        <v>8</v>
      </c>
      <c r="F17" s="23" t="n">
        <f aca="false">D17+E17</f>
        <v>20</v>
      </c>
      <c r="G17" s="23" t="n">
        <f aca="false">C17-F17</f>
        <v>4</v>
      </c>
      <c r="H17" s="23" t="s">
        <v>411</v>
      </c>
    </row>
    <row r="18" customFormat="false" ht="15" hidden="false" customHeight="false" outlineLevel="0" collapsed="false">
      <c r="A18" s="22" t="n">
        <v>46300</v>
      </c>
      <c r="B18" s="22" t="n">
        <v>46304</v>
      </c>
      <c r="C18" s="23" t="n">
        <v>24</v>
      </c>
      <c r="D18" s="23" t="n">
        <v>12</v>
      </c>
      <c r="E18" s="23" t="n">
        <v>10</v>
      </c>
      <c r="F18" s="23" t="n">
        <f aca="false">D18+E18</f>
        <v>22</v>
      </c>
      <c r="G18" s="23" t="n">
        <f aca="false">C18-F18</f>
        <v>2</v>
      </c>
      <c r="H18" s="23" t="s">
        <v>412</v>
      </c>
    </row>
    <row r="19" customFormat="false" ht="15" hidden="false" customHeight="false" outlineLevel="0" collapsed="false">
      <c r="A19" s="22" t="n">
        <v>46307</v>
      </c>
      <c r="B19" s="22" t="n">
        <v>46311</v>
      </c>
      <c r="C19" s="23" t="n">
        <v>24</v>
      </c>
      <c r="D19" s="23" t="n">
        <v>12</v>
      </c>
      <c r="E19" s="23" t="n">
        <v>10</v>
      </c>
      <c r="F19" s="23" t="n">
        <f aca="false">D19+E19</f>
        <v>22</v>
      </c>
      <c r="G19" s="23" t="n">
        <f aca="false">C19-F19</f>
        <v>2</v>
      </c>
      <c r="H19" s="23" t="s">
        <v>413</v>
      </c>
    </row>
    <row r="20" customFormat="false" ht="15" hidden="false" customHeight="false" outlineLevel="0" collapsed="false">
      <c r="A20" s="22" t="n">
        <v>46314</v>
      </c>
      <c r="B20" s="22" t="n">
        <v>46318</v>
      </c>
      <c r="C20" s="23" t="n">
        <v>12</v>
      </c>
      <c r="D20" s="23" t="n">
        <v>8</v>
      </c>
      <c r="E20" s="23" t="n">
        <v>8</v>
      </c>
      <c r="F20" s="23" t="n">
        <f aca="false">D20+E20</f>
        <v>16</v>
      </c>
      <c r="G20" s="23" t="n">
        <f aca="false">C20-F20</f>
        <v>-4</v>
      </c>
      <c r="H20" s="23" t="s">
        <v>414</v>
      </c>
    </row>
    <row r="21" customFormat="false" ht="15" hidden="false" customHeight="false" outlineLevel="0" collapsed="false">
      <c r="A21" s="22" t="n">
        <v>46321</v>
      </c>
      <c r="B21" s="22" t="n">
        <v>46325</v>
      </c>
      <c r="C21" s="23" t="n">
        <v>24</v>
      </c>
      <c r="D21" s="23" t="n">
        <v>12</v>
      </c>
      <c r="E21" s="23" t="n">
        <v>10</v>
      </c>
      <c r="F21" s="23" t="n">
        <f aca="false">D21+E21</f>
        <v>22</v>
      </c>
      <c r="G21" s="23" t="n">
        <f aca="false">C21-F21</f>
        <v>2</v>
      </c>
      <c r="H21" s="23" t="s">
        <v>415</v>
      </c>
    </row>
    <row r="22" customFormat="false" ht="15" hidden="false" customHeight="false" outlineLevel="0" collapsed="false">
      <c r="A22" s="22" t="n">
        <v>46328</v>
      </c>
      <c r="B22" s="22" t="n">
        <v>46332</v>
      </c>
      <c r="C22" s="23" t="n">
        <v>24</v>
      </c>
      <c r="D22" s="23" t="n">
        <v>12</v>
      </c>
      <c r="E22" s="23" t="n">
        <v>10</v>
      </c>
      <c r="F22" s="23" t="n">
        <f aca="false">D22+E22</f>
        <v>22</v>
      </c>
      <c r="G22" s="23" t="n">
        <f aca="false">C22-F22</f>
        <v>2</v>
      </c>
      <c r="H22" s="23" t="s">
        <v>416</v>
      </c>
    </row>
    <row r="23" customFormat="false" ht="15" hidden="false" customHeight="false" outlineLevel="0" collapsed="false">
      <c r="A23" s="22" t="n">
        <v>46335</v>
      </c>
      <c r="B23" s="22" t="n">
        <v>46339</v>
      </c>
      <c r="C23" s="23" t="n">
        <v>24</v>
      </c>
      <c r="D23" s="23" t="n">
        <v>12</v>
      </c>
      <c r="E23" s="23" t="n">
        <v>10</v>
      </c>
      <c r="F23" s="23" t="n">
        <f aca="false">D23+E23</f>
        <v>22</v>
      </c>
      <c r="G23" s="23" t="n">
        <f aca="false">C23-F23</f>
        <v>2</v>
      </c>
      <c r="H23" s="23" t="s">
        <v>417</v>
      </c>
    </row>
    <row r="24" customFormat="false" ht="15" hidden="false" customHeight="false" outlineLevel="0" collapsed="false">
      <c r="A24" s="22" t="n">
        <v>46342</v>
      </c>
      <c r="B24" s="22" t="n">
        <v>46346</v>
      </c>
      <c r="C24" s="23" t="n">
        <v>24</v>
      </c>
      <c r="D24" s="23" t="n">
        <v>8</v>
      </c>
      <c r="E24" s="23" t="n">
        <v>12</v>
      </c>
      <c r="F24" s="23" t="n">
        <f aca="false">D24+E24</f>
        <v>20</v>
      </c>
      <c r="G24" s="23" t="n">
        <f aca="false">C24-F24</f>
        <v>4</v>
      </c>
      <c r="H24" s="23" t="s">
        <v>418</v>
      </c>
    </row>
    <row r="25" customFormat="false" ht="15" hidden="false" customHeight="false" outlineLevel="0" collapsed="false">
      <c r="A25" s="22" t="n">
        <v>46349</v>
      </c>
      <c r="B25" s="22" t="n">
        <v>46353</v>
      </c>
      <c r="C25" s="23" t="n">
        <v>12</v>
      </c>
      <c r="D25" s="23" t="n">
        <v>6</v>
      </c>
      <c r="E25" s="23" t="n">
        <v>4</v>
      </c>
      <c r="F25" s="23" t="n">
        <f aca="false">D25+E25</f>
        <v>10</v>
      </c>
      <c r="G25" s="23" t="n">
        <f aca="false">C25-F25</f>
        <v>2</v>
      </c>
      <c r="H25" s="23" t="s">
        <v>419</v>
      </c>
    </row>
    <row r="26" customFormat="false" ht="15" hidden="false" customHeight="false" outlineLevel="0" collapsed="false">
      <c r="A26" s="22" t="n">
        <v>46356</v>
      </c>
      <c r="B26" s="22" t="n">
        <v>46360</v>
      </c>
      <c r="C26" s="23" t="n">
        <v>24</v>
      </c>
      <c r="D26" s="23" t="n">
        <v>10</v>
      </c>
      <c r="E26" s="23" t="n">
        <v>12</v>
      </c>
      <c r="F26" s="23" t="n">
        <f aca="false">D26+E26</f>
        <v>22</v>
      </c>
      <c r="G26" s="23" t="n">
        <f aca="false">C26-F26</f>
        <v>2</v>
      </c>
      <c r="H26" s="23" t="s">
        <v>420</v>
      </c>
    </row>
    <row r="27" customFormat="false" ht="23.85" hidden="false" customHeight="false" outlineLevel="0" collapsed="false">
      <c r="A27" s="22" t="n">
        <v>46363</v>
      </c>
      <c r="B27" s="22" t="n">
        <v>46367</v>
      </c>
      <c r="C27" s="23" t="n">
        <v>24</v>
      </c>
      <c r="D27" s="23" t="n">
        <v>10</v>
      </c>
      <c r="E27" s="23" t="n">
        <v>16</v>
      </c>
      <c r="F27" s="23" t="n">
        <f aca="false">D27+E27</f>
        <v>26</v>
      </c>
      <c r="G27" s="23" t="n">
        <f aca="false">C27-F27</f>
        <v>-2</v>
      </c>
      <c r="H27" s="23" t="s">
        <v>421</v>
      </c>
    </row>
    <row r="28" customFormat="false" ht="15" hidden="false" customHeight="false" outlineLevel="0" collapsed="false">
      <c r="A28" s="22" t="n">
        <v>46370</v>
      </c>
      <c r="B28" s="22" t="n">
        <v>46374</v>
      </c>
      <c r="C28" s="23" t="n">
        <v>24</v>
      </c>
      <c r="D28" s="23" t="n">
        <v>6</v>
      </c>
      <c r="E28" s="23" t="n">
        <v>10</v>
      </c>
      <c r="F28" s="23" t="n">
        <f aca="false">D28+E28</f>
        <v>16</v>
      </c>
      <c r="G28" s="23" t="n">
        <f aca="false">C28-F28</f>
        <v>8</v>
      </c>
      <c r="H28" s="23" t="s">
        <v>422</v>
      </c>
    </row>
    <row r="29" customFormat="false" ht="15" hidden="false" customHeight="false" outlineLevel="0" collapsed="false">
      <c r="A29" s="22" t="n">
        <v>46377</v>
      </c>
      <c r="B29" s="22" t="n">
        <v>46381</v>
      </c>
      <c r="C29" s="23" t="n">
        <v>12</v>
      </c>
      <c r="D29" s="23" t="n">
        <v>4</v>
      </c>
      <c r="E29" s="23" t="n">
        <v>4</v>
      </c>
      <c r="F29" s="23" t="n">
        <f aca="false">D29+E29</f>
        <v>8</v>
      </c>
      <c r="G29" s="23" t="n">
        <f aca="false">C29-F29</f>
        <v>4</v>
      </c>
      <c r="H29" s="23" t="s">
        <v>423</v>
      </c>
    </row>
    <row r="30" customFormat="false" ht="15" hidden="false" customHeight="false" outlineLevel="0" collapsed="false">
      <c r="A30" s="22" t="n">
        <v>46384</v>
      </c>
      <c r="B30" s="22" t="n">
        <v>46387</v>
      </c>
      <c r="C30" s="23" t="n">
        <v>8</v>
      </c>
      <c r="D30" s="23" t="n">
        <v>0</v>
      </c>
      <c r="E30" s="23" t="n">
        <v>8</v>
      </c>
      <c r="F30" s="23" t="n">
        <f aca="false">D30+E30</f>
        <v>8</v>
      </c>
      <c r="G30" s="23" t="n">
        <f aca="false">C30-F30</f>
        <v>0</v>
      </c>
      <c r="H30" s="23" t="s">
        <v>424</v>
      </c>
    </row>
    <row r="31" customFormat="false" ht="15" hidden="false" customHeight="false" outlineLevel="0" collapsed="false">
      <c r="A31" s="16" t="s">
        <v>316</v>
      </c>
      <c r="C31" s="7" t="n">
        <f aca="false">SUM(C2:C30)</f>
        <v>576</v>
      </c>
      <c r="D31" s="7" t="n">
        <f aca="false">SUM(D2:D30)</f>
        <v>307</v>
      </c>
      <c r="E31" s="7" t="n">
        <f aca="false">SUM(E2:E30)</f>
        <v>230</v>
      </c>
      <c r="F31" s="7" t="n">
        <f aca="false">SUM(F2:F30)</f>
        <v>537</v>
      </c>
      <c r="G31" s="7" t="n">
        <f aca="false">SUM(G2:G30)</f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2026-06-16T16:20:15Z</dcterms:created>
  <dc:creator>openpyxl</dc:creator>
  <dc:description/>
  <dc:language>en-US</dc:language>
  <cp:lastModifiedBy/>
  <dcterms:modified xsi:type="dcterms:W3CDTF">2026-06-16T16:20:15Z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